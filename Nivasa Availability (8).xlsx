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vailability" sheetId="1" r:id="rId5"/>
    <sheet state="hidden" name="Availability (E-infra)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tc={d5e7bd6e-709f-4b55-84d0-84b4268a9b36}</author>
    <author>tc={fb7b0f47-2eaa-4c46-b351-33aed54f120c}</author>
  </authors>
  <commentList>
    <comment authorId="0" ref="N13">
      <text>
        <t xml:space="preserve">LENOVO:
Mortgage FLat</t>
      </text>
    </comment>
    <comment authorId="0" ref="O26">
      <text>
        <t xml:space="preserve">Vamshi:
Refuse Area Flat</t>
      </text>
    </comment>
    <comment authorId="0" ref="E30">
      <text>
        <t xml:space="preserve">LENOVO:
Mortgage FLat</t>
      </text>
    </comment>
    <comment authorId="0" ref="E29">
      <text>
        <t xml:space="preserve">LENOVO:
Mortgage FLat</t>
      </text>
    </comment>
    <comment authorId="0" ref="F26">
      <text>
        <t xml:space="preserve">Vamshi:
Refuse Area Flat</t>
      </text>
    </comment>
    <comment authorId="0" ref="X26">
      <text>
        <t xml:space="preserve">Vamshi:
Refuse Area Flat</t>
      </text>
    </comment>
    <comment authorId="1" xr:uid="{d5e7bd6e-709f-4b55-84d0-84b4268a9b36}" ref="O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Blocked by Satish on 13-06-2026
</t>
      </text>
    </comment>
    <comment authorId="2" xr:uid="{fb7b0f47-2eaa-4c46-b351-33aed54f120c}" ref="D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Blocked for A-307 Dheraj (will shift to this flat)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O27">
      <text>
        <t xml:space="preserve">Vamshi:
Refuse Area Flat</t>
      </text>
    </comment>
    <comment authorId="0" ref="U12">
      <text>
        <t xml:space="preserve">LENOVO:
Mortgage FLat</t>
      </text>
    </comment>
    <comment authorId="0" ref="F27">
      <text>
        <t xml:space="preserve">Vamshi:
Refuse Area Flat</t>
      </text>
    </comment>
    <comment authorId="0" ref="X27">
      <text>
        <t xml:space="preserve">Vamshi:
Refuse Area Flat</t>
      </text>
    </comment>
  </commentList>
</comments>
</file>

<file path=xl/sharedStrings.xml><?xml version="1.0" encoding="utf-8"?>
<sst xmlns="http://schemas.openxmlformats.org/spreadsheetml/2006/main" count="191" uniqueCount="56">
  <si>
    <t>TOWER-A</t>
  </si>
  <si>
    <t>TOWER - B</t>
  </si>
  <si>
    <t>TOWER - C</t>
  </si>
  <si>
    <t>WEST-FACING</t>
  </si>
  <si>
    <t>EAST - FACING</t>
  </si>
  <si>
    <t>WEST - FACING</t>
  </si>
  <si>
    <t>EAST-FACING</t>
  </si>
  <si>
    <t>EAST -FACING</t>
  </si>
  <si>
    <t>WEST- FACING</t>
  </si>
  <si>
    <t>NORTH - FACING</t>
  </si>
  <si>
    <t>floor</t>
  </si>
  <si>
    <t>1375 / Corn</t>
  </si>
  <si>
    <t>2205 / Corn</t>
  </si>
  <si>
    <t>1550 / Corn</t>
  </si>
  <si>
    <t>1310 / corn</t>
  </si>
  <si>
    <t>1310 /corn</t>
  </si>
  <si>
    <t>1470/corn</t>
  </si>
  <si>
    <t>1610 / corn</t>
  </si>
  <si>
    <t>1830 /corn</t>
  </si>
  <si>
    <t>1625 /corn</t>
  </si>
  <si>
    <t>1350 / corn</t>
  </si>
  <si>
    <t>1350 /corn</t>
  </si>
  <si>
    <t>G-floor</t>
  </si>
  <si>
    <t>G-1</t>
  </si>
  <si>
    <t>G-2</t>
  </si>
  <si>
    <t>G-3</t>
  </si>
  <si>
    <t>G-4</t>
  </si>
  <si>
    <t>G-5</t>
  </si>
  <si>
    <t>G-6</t>
  </si>
  <si>
    <t>G-7</t>
  </si>
  <si>
    <t>G-8</t>
  </si>
  <si>
    <t>G-9</t>
  </si>
  <si>
    <t>1700 / Corn</t>
  </si>
  <si>
    <t>1375 / corn</t>
  </si>
  <si>
    <t>1375 /corn</t>
  </si>
  <si>
    <t>1700/corn</t>
  </si>
  <si>
    <t>1700 / corn</t>
  </si>
  <si>
    <t>1845 /corn</t>
  </si>
  <si>
    <t>Tower A</t>
  </si>
  <si>
    <t>Available</t>
  </si>
  <si>
    <t>Tower B</t>
  </si>
  <si>
    <t>Tower C</t>
  </si>
  <si>
    <t>Mortgage</t>
  </si>
  <si>
    <t>Total</t>
  </si>
  <si>
    <t>Total Available Units :</t>
  </si>
  <si>
    <t>Total Available Units (Including Mortgage) :</t>
  </si>
  <si>
    <t>Total Available Sft :</t>
  </si>
  <si>
    <t>Date:</t>
  </si>
  <si>
    <t>A-902</t>
  </si>
  <si>
    <t>Blocked by Sharath on 9-04-2025</t>
  </si>
  <si>
    <t>B-706</t>
  </si>
  <si>
    <t>Venkat on 22-03-2025</t>
  </si>
  <si>
    <t>A-308</t>
  </si>
  <si>
    <t>Bharat on 28-03-2025</t>
  </si>
  <si>
    <t>C-208</t>
  </si>
  <si>
    <t>Mohan on 06-4-2025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</si>
</sst>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7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b/>
      <sz val="12.0"/>
      <color theme="1"/>
      <name val="Calibri"/>
    </font>
    <font>
      <sz val="12.0"/>
      <color theme="1"/>
      <name val="Calibri"/>
    </font>
    <font>
      <sz val="11.0"/>
      <color rgb="FF00000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0000"/>
        <bgColor rgb="FFFF0000"/>
      </patternFill>
    </fill>
    <fill>
      <patternFill patternType="solid">
        <fgColor rgb="FFA6A6A6"/>
        <bgColor rgb="FFA6A6A6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D6DCE4"/>
        <bgColor rgb="FFD6DCE4"/>
      </patternFill>
    </fill>
    <fill>
      <patternFill patternType="solid">
        <fgColor rgb="FFFFFF00"/>
        <bgColor rgb="FFFFFF00"/>
      </patternFill>
    </fill>
  </fills>
  <borders count="2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/>
      <bottom/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0" fontId="1" numFmtId="14" xfId="0" applyAlignment="1" applyBorder="1" applyFont="1" applyNumberFormat="1">
      <alignment horizontal="center" readingOrder="0" vertical="center"/>
    </xf>
    <xf borderId="2" fillId="0" fontId="2" numFmtId="0" xfId="0" applyBorder="1" applyFont="1"/>
    <xf borderId="0" fillId="0" fontId="3" numFmtId="15" xfId="0" applyAlignment="1" applyFont="1" applyNumberForma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1" fillId="2" fontId="4" numFmtId="0" xfId="0" applyAlignment="1" applyBorder="1" applyFill="1" applyFont="1">
      <alignment horizontal="center" vertical="center"/>
    </xf>
    <xf borderId="3" fillId="0" fontId="2" numFmtId="0" xfId="0" applyBorder="1" applyFont="1"/>
    <xf borderId="0" fillId="0" fontId="5" numFmtId="0" xfId="0" applyAlignment="1" applyFont="1">
      <alignment horizontal="center" vertical="center"/>
    </xf>
    <xf borderId="4" fillId="0" fontId="5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vertical="center"/>
    </xf>
    <xf borderId="5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4" fillId="3" fontId="3" numFmtId="0" xfId="0" applyAlignment="1" applyBorder="1" applyFill="1" applyFont="1">
      <alignment horizontal="center" vertical="center"/>
    </xf>
    <xf borderId="4" fillId="4" fontId="3" numFmtId="0" xfId="0" applyAlignment="1" applyBorder="1" applyFill="1" applyFont="1">
      <alignment horizontal="center" vertical="center"/>
    </xf>
    <xf borderId="6" fillId="3" fontId="3" numFmtId="0" xfId="0" applyAlignment="1" applyBorder="1" applyFont="1">
      <alignment horizontal="center" vertical="center"/>
    </xf>
    <xf borderId="7" fillId="4" fontId="3" numFmtId="0" xfId="0" applyAlignment="1" applyBorder="1" applyFont="1">
      <alignment horizontal="center" vertical="center"/>
    </xf>
    <xf borderId="8" fillId="4" fontId="3" numFmtId="0" xfId="0" applyAlignment="1" applyBorder="1" applyFont="1">
      <alignment horizontal="center" vertical="center"/>
    </xf>
    <xf borderId="9" fillId="4" fontId="3" numFmtId="0" xfId="0" applyAlignment="1" applyBorder="1" applyFont="1">
      <alignment horizontal="center" vertical="center"/>
    </xf>
    <xf borderId="10" fillId="5" fontId="3" numFmtId="0" xfId="0" applyAlignment="1" applyBorder="1" applyFill="1" applyFont="1">
      <alignment horizontal="center" vertical="center"/>
    </xf>
    <xf borderId="4" fillId="6" fontId="3" numFmtId="0" xfId="0" applyAlignment="1" applyBorder="1" applyFill="1" applyFont="1">
      <alignment horizontal="center" vertical="center"/>
    </xf>
    <xf borderId="6" fillId="4" fontId="3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center" vertical="center"/>
    </xf>
    <xf borderId="8" fillId="3" fontId="3" numFmtId="0" xfId="0" applyAlignment="1" applyBorder="1" applyFont="1">
      <alignment horizontal="center" vertical="center"/>
    </xf>
    <xf borderId="12" fillId="7" fontId="3" numFmtId="0" xfId="0" applyAlignment="1" applyBorder="1" applyFill="1" applyFont="1">
      <alignment horizontal="center" vertical="center"/>
    </xf>
    <xf borderId="4" fillId="5" fontId="3" numFmtId="0" xfId="0" applyAlignment="1" applyBorder="1" applyFont="1">
      <alignment horizontal="center" vertical="center"/>
    </xf>
    <xf borderId="5" fillId="6" fontId="3" numFmtId="0" xfId="0" applyAlignment="1" applyBorder="1" applyFont="1">
      <alignment horizontal="center" vertical="center"/>
    </xf>
    <xf borderId="13" fillId="0" fontId="3" numFmtId="0" xfId="0" applyAlignment="1" applyBorder="1" applyFont="1">
      <alignment horizontal="center" vertical="center"/>
    </xf>
    <xf borderId="14" fillId="4" fontId="3" numFmtId="0" xfId="0" applyAlignment="1" applyBorder="1" applyFont="1">
      <alignment horizontal="center" vertical="center"/>
    </xf>
    <xf borderId="4" fillId="4" fontId="3" numFmtId="0" xfId="0" applyAlignment="1" applyBorder="1" applyFont="1">
      <alignment horizontal="center" readingOrder="0" vertical="center"/>
    </xf>
    <xf borderId="9" fillId="4" fontId="3" numFmtId="0" xfId="0" applyAlignment="1" applyBorder="1" applyFont="1">
      <alignment horizontal="center" readingOrder="0" vertical="center"/>
    </xf>
    <xf borderId="15" fillId="0" fontId="3" numFmtId="0" xfId="0" applyAlignment="1" applyBorder="1" applyFont="1">
      <alignment horizontal="center" vertical="center"/>
    </xf>
    <xf borderId="16" fillId="0" fontId="3" numFmtId="0" xfId="0" applyAlignment="1" applyBorder="1" applyFont="1">
      <alignment horizontal="center" vertical="center"/>
    </xf>
    <xf borderId="17" fillId="0" fontId="3" numFmtId="0" xfId="0" applyAlignment="1" applyBorder="1" applyFont="1">
      <alignment horizontal="center" vertical="center"/>
    </xf>
    <xf borderId="5" fillId="8" fontId="1" numFmtId="0" xfId="0" applyAlignment="1" applyBorder="1" applyFill="1" applyFont="1">
      <alignment horizontal="center" vertical="center"/>
    </xf>
    <xf borderId="4" fillId="0" fontId="3" numFmtId="0" xfId="0" applyAlignment="1" applyBorder="1" applyFont="1">
      <alignment horizontal="center" readingOrder="0" vertical="center"/>
    </xf>
    <xf borderId="4" fillId="0" fontId="3" numFmtId="3" xfId="0" applyAlignment="1" applyBorder="1" applyFont="1" applyNumberFormat="1">
      <alignment horizontal="center" readingOrder="0" vertical="center"/>
    </xf>
    <xf borderId="0" fillId="0" fontId="3" numFmtId="3" xfId="0" applyAlignment="1" applyFont="1" applyNumberFormat="1">
      <alignment horizontal="center" vertical="center"/>
    </xf>
    <xf borderId="4" fillId="0" fontId="6" numFmtId="0" xfId="0" applyAlignment="1" applyBorder="1" applyFont="1">
      <alignment horizontal="center" readingOrder="0" shrinkToFit="0" wrapText="0"/>
    </xf>
    <xf borderId="4" fillId="0" fontId="6" numFmtId="3" xfId="0" applyAlignment="1" applyBorder="1" applyFont="1" applyNumberFormat="1">
      <alignment horizontal="center" readingOrder="0" shrinkToFit="0" wrapText="0"/>
    </xf>
    <xf borderId="13" fillId="0" fontId="2" numFmtId="0" xfId="0" applyBorder="1" applyFont="1"/>
    <xf borderId="15" fillId="0" fontId="2" numFmtId="0" xfId="0" applyBorder="1" applyFont="1"/>
    <xf borderId="4" fillId="0" fontId="1" numFmtId="0" xfId="0" applyAlignment="1" applyBorder="1" applyFont="1">
      <alignment horizontal="center" vertical="center"/>
    </xf>
    <xf borderId="4" fillId="0" fontId="1" numFmtId="3" xfId="0" applyAlignment="1" applyBorder="1" applyFont="1" applyNumberFormat="1">
      <alignment horizontal="center" vertical="center"/>
    </xf>
    <xf borderId="0" fillId="0" fontId="3" numFmtId="0" xfId="0" applyAlignment="1" applyFont="1">
      <alignment horizontal="left" vertical="center"/>
    </xf>
    <xf borderId="1" fillId="0" fontId="1" numFmtId="0" xfId="0" applyAlignment="1" applyBorder="1" applyFont="1">
      <alignment horizontal="left" vertical="center"/>
    </xf>
    <xf borderId="4" fillId="0" fontId="1" numFmtId="0" xfId="0" applyAlignment="1" applyBorder="1" applyFont="1">
      <alignment horizontal="center" readingOrder="0" vertical="center"/>
    </xf>
    <xf borderId="4" fillId="0" fontId="1" numFmtId="164" xfId="0" applyAlignment="1" applyBorder="1" applyFont="1" applyNumberFormat="1">
      <alignment horizontal="center" vertical="center"/>
    </xf>
    <xf borderId="4" fillId="9" fontId="3" numFmtId="0" xfId="0" applyAlignment="1" applyBorder="1" applyFill="1" applyFont="1">
      <alignment horizontal="center" vertical="center"/>
    </xf>
    <xf borderId="12" fillId="0" fontId="3" numFmtId="0" xfId="0" applyAlignment="1" applyBorder="1" applyFont="1">
      <alignment horizontal="center" vertical="center"/>
    </xf>
    <xf borderId="18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center" vertical="center"/>
    </xf>
    <xf borderId="19" fillId="0" fontId="3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4" fillId="0" fontId="3" numFmtId="3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Vamshi Krishna" id="{cf8a5708-0342-4bf4-9d11-475177902564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O21" dT="2026-06-13T14:27:19.00" personId="{cf8a5708-0342-4bf4-9d11-475177902564}" id="{d5e7bd6e-709f-4b55-84d0-84b4268a9b36}" done="0">
    <x18tc:text xml:space="preserve">Blocked by Satish on 13-06-2026</x18tc:text>
  </x18tc:threadedComment>
  <x18tc:threadedComment ref="D18" dT="2026-01-17T10:23:48.00" personId="{cf8a5708-0342-4bf4-9d11-475177902564}" id="{fb7b0f47-2eaa-4c46-b351-33aed54f120c}" done="0">
    <x18tc:text xml:space="preserve">Blocked for A-307 Dheraj (will shift to this flat)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9.71"/>
    <col customWidth="1" min="2" max="9" width="11.29"/>
    <col customWidth="1" min="10" max="10" width="4.43"/>
    <col customWidth="1" min="11" max="11" width="9.71"/>
    <col customWidth="1" min="12" max="17" width="11.29"/>
    <col customWidth="1" min="18" max="18" width="4.43"/>
    <col customWidth="1" min="19" max="19" width="9.71"/>
    <col customWidth="1" min="20" max="28" width="11.29"/>
  </cols>
  <sheetData>
    <row r="1" ht="14.25" customHeight="1">
      <c r="A1" s="1">
        <v>46191.0</v>
      </c>
      <c r="B1" s="2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  <c r="AB1" s="4"/>
    </row>
    <row r="2" ht="15.75" customHeight="1">
      <c r="A2" s="6" t="s">
        <v>0</v>
      </c>
      <c r="B2" s="7"/>
      <c r="C2" s="7"/>
      <c r="D2" s="7"/>
      <c r="E2" s="7"/>
      <c r="F2" s="7"/>
      <c r="G2" s="7"/>
      <c r="H2" s="7"/>
      <c r="I2" s="2"/>
      <c r="J2" s="8"/>
      <c r="K2" s="6" t="s">
        <v>1</v>
      </c>
      <c r="L2" s="7"/>
      <c r="M2" s="7"/>
      <c r="N2" s="7"/>
      <c r="O2" s="7"/>
      <c r="P2" s="7"/>
      <c r="Q2" s="2"/>
      <c r="R2" s="8"/>
      <c r="S2" s="6" t="s">
        <v>2</v>
      </c>
      <c r="T2" s="7"/>
      <c r="U2" s="7"/>
      <c r="V2" s="7"/>
      <c r="W2" s="7"/>
      <c r="X2" s="7"/>
      <c r="Y2" s="7"/>
      <c r="Z2" s="7"/>
      <c r="AA2" s="7"/>
      <c r="AB2" s="2"/>
    </row>
    <row r="3" ht="14.25" customHeight="1">
      <c r="A3" s="9"/>
      <c r="B3" s="10" t="s">
        <v>3</v>
      </c>
      <c r="C3" s="7"/>
      <c r="D3" s="7"/>
      <c r="E3" s="2"/>
      <c r="F3" s="10" t="s">
        <v>4</v>
      </c>
      <c r="G3" s="7"/>
      <c r="H3" s="7"/>
      <c r="I3" s="2"/>
      <c r="J3" s="8"/>
      <c r="K3" s="9"/>
      <c r="L3" s="10" t="s">
        <v>5</v>
      </c>
      <c r="M3" s="7"/>
      <c r="N3" s="2"/>
      <c r="O3" s="10" t="s">
        <v>6</v>
      </c>
      <c r="P3" s="7"/>
      <c r="Q3" s="2"/>
      <c r="R3" s="8"/>
      <c r="S3" s="9"/>
      <c r="T3" s="10" t="s">
        <v>7</v>
      </c>
      <c r="U3" s="2"/>
      <c r="V3" s="10" t="s">
        <v>8</v>
      </c>
      <c r="W3" s="2"/>
      <c r="X3" s="10" t="s">
        <v>9</v>
      </c>
      <c r="Y3" s="7"/>
      <c r="Z3" s="7"/>
      <c r="AA3" s="7"/>
      <c r="AB3" s="2"/>
    </row>
    <row r="4" ht="14.25" customHeight="1">
      <c r="A4" s="11" t="s">
        <v>10</v>
      </c>
      <c r="B4" s="12" t="s">
        <v>11</v>
      </c>
      <c r="C4" s="12">
        <v>2110.0</v>
      </c>
      <c r="D4" s="12">
        <v>1910.0</v>
      </c>
      <c r="E4" s="12" t="s">
        <v>12</v>
      </c>
      <c r="F4" s="12" t="s">
        <v>13</v>
      </c>
      <c r="G4" s="12">
        <v>1550.0</v>
      </c>
      <c r="H4" s="12">
        <v>1550.0</v>
      </c>
      <c r="I4" s="12" t="s">
        <v>13</v>
      </c>
      <c r="J4" s="4"/>
      <c r="K4" s="11" t="s">
        <v>10</v>
      </c>
      <c r="L4" s="12" t="s">
        <v>14</v>
      </c>
      <c r="M4" s="12">
        <v>1310.0</v>
      </c>
      <c r="N4" s="12" t="s">
        <v>15</v>
      </c>
      <c r="O4" s="12" t="s">
        <v>16</v>
      </c>
      <c r="P4" s="12">
        <v>1610.0</v>
      </c>
      <c r="Q4" s="12" t="s">
        <v>17</v>
      </c>
      <c r="R4" s="4"/>
      <c r="S4" s="11" t="s">
        <v>10</v>
      </c>
      <c r="T4" s="12">
        <v>1625.0</v>
      </c>
      <c r="U4" s="12" t="s">
        <v>18</v>
      </c>
      <c r="V4" s="12" t="s">
        <v>19</v>
      </c>
      <c r="W4" s="12">
        <v>1845.0</v>
      </c>
      <c r="X4" s="12" t="s">
        <v>20</v>
      </c>
      <c r="Y4" s="12">
        <v>1350.0</v>
      </c>
      <c r="Z4" s="12">
        <v>1350.0</v>
      </c>
      <c r="AA4" s="12">
        <v>1350.0</v>
      </c>
      <c r="AB4" s="12" t="s">
        <v>21</v>
      </c>
    </row>
    <row r="5" ht="14.25" customHeight="1">
      <c r="A5" s="13" t="s">
        <v>22</v>
      </c>
      <c r="B5" s="14" t="s">
        <v>23</v>
      </c>
      <c r="C5" s="14" t="s">
        <v>24</v>
      </c>
      <c r="D5" s="14" t="s">
        <v>25</v>
      </c>
      <c r="E5" s="14" t="s">
        <v>26</v>
      </c>
      <c r="F5" s="15" t="s">
        <v>27</v>
      </c>
      <c r="G5" s="15" t="s">
        <v>28</v>
      </c>
      <c r="H5" s="14" t="s">
        <v>29</v>
      </c>
      <c r="I5" s="14" t="s">
        <v>30</v>
      </c>
      <c r="J5" s="4"/>
      <c r="K5" s="13" t="s">
        <v>22</v>
      </c>
      <c r="L5" s="14" t="s">
        <v>23</v>
      </c>
      <c r="M5" s="16" t="s">
        <v>24</v>
      </c>
      <c r="N5" s="14" t="s">
        <v>25</v>
      </c>
      <c r="O5" s="17" t="s">
        <v>26</v>
      </c>
      <c r="P5" s="14" t="s">
        <v>27</v>
      </c>
      <c r="Q5" s="18" t="s">
        <v>28</v>
      </c>
      <c r="R5" s="4"/>
      <c r="S5" s="13" t="s">
        <v>22</v>
      </c>
      <c r="T5" s="14" t="s">
        <v>23</v>
      </c>
      <c r="U5" s="15" t="s">
        <v>30</v>
      </c>
      <c r="V5" s="14" t="s">
        <v>24</v>
      </c>
      <c r="W5" s="14" t="s">
        <v>31</v>
      </c>
      <c r="X5" s="15" t="s">
        <v>25</v>
      </c>
      <c r="Y5" s="14" t="s">
        <v>26</v>
      </c>
      <c r="Z5" s="14" t="s">
        <v>27</v>
      </c>
      <c r="AA5" s="14" t="s">
        <v>28</v>
      </c>
      <c r="AB5" s="14" t="s">
        <v>29</v>
      </c>
    </row>
    <row r="6" ht="14.25" customHeight="1">
      <c r="A6" s="13">
        <v>1.0</v>
      </c>
      <c r="B6" s="14">
        <v>101.0</v>
      </c>
      <c r="C6" s="14">
        <v>102.0</v>
      </c>
      <c r="D6" s="14">
        <v>103.0</v>
      </c>
      <c r="E6" s="14">
        <v>104.0</v>
      </c>
      <c r="F6" s="14">
        <v>105.0</v>
      </c>
      <c r="G6" s="14">
        <v>106.0</v>
      </c>
      <c r="H6" s="15">
        <v>107.0</v>
      </c>
      <c r="I6" s="15">
        <v>108.0</v>
      </c>
      <c r="J6" s="4"/>
      <c r="K6" s="13">
        <v>1.0</v>
      </c>
      <c r="L6" s="15">
        <v>101.0</v>
      </c>
      <c r="M6" s="15">
        <v>102.0</v>
      </c>
      <c r="N6" s="19">
        <v>103.0</v>
      </c>
      <c r="O6" s="14">
        <v>104.0</v>
      </c>
      <c r="P6" s="16">
        <v>105.0</v>
      </c>
      <c r="Q6" s="14">
        <v>106.0</v>
      </c>
      <c r="R6" s="4"/>
      <c r="S6" s="13">
        <v>1.0</v>
      </c>
      <c r="T6" s="14">
        <v>101.0</v>
      </c>
      <c r="U6" s="14">
        <v>108.0</v>
      </c>
      <c r="V6" s="15">
        <v>102.0</v>
      </c>
      <c r="W6" s="15">
        <v>109.0</v>
      </c>
      <c r="X6" s="14">
        <v>103.0</v>
      </c>
      <c r="Y6" s="14">
        <v>104.0</v>
      </c>
      <c r="Z6" s="14">
        <v>105.0</v>
      </c>
      <c r="AA6" s="14">
        <v>106.0</v>
      </c>
      <c r="AB6" s="14">
        <v>107.0</v>
      </c>
    </row>
    <row r="7" ht="12.0" customHeight="1">
      <c r="A7" s="4"/>
      <c r="B7" s="20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 ht="12.0" customHeight="1">
      <c r="A8" s="4"/>
      <c r="B8" s="20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ht="15.75" customHeight="1">
      <c r="A9" s="6" t="s">
        <v>0</v>
      </c>
      <c r="B9" s="7"/>
      <c r="C9" s="7"/>
      <c r="D9" s="7"/>
      <c r="E9" s="7"/>
      <c r="F9" s="7"/>
      <c r="G9" s="7"/>
      <c r="H9" s="7"/>
      <c r="I9" s="2"/>
      <c r="J9" s="8"/>
      <c r="K9" s="6" t="s">
        <v>1</v>
      </c>
      <c r="L9" s="7"/>
      <c r="M9" s="7"/>
      <c r="N9" s="7"/>
      <c r="O9" s="7"/>
      <c r="P9" s="7"/>
      <c r="Q9" s="2"/>
      <c r="R9" s="8"/>
      <c r="S9" s="6" t="s">
        <v>2</v>
      </c>
      <c r="T9" s="7"/>
      <c r="U9" s="7"/>
      <c r="V9" s="7"/>
      <c r="W9" s="7"/>
      <c r="X9" s="7"/>
      <c r="Y9" s="7"/>
      <c r="Z9" s="7"/>
      <c r="AA9" s="7"/>
      <c r="AB9" s="2"/>
    </row>
    <row r="10" ht="15.75" customHeight="1">
      <c r="A10" s="9"/>
      <c r="B10" s="10" t="s">
        <v>8</v>
      </c>
      <c r="C10" s="7"/>
      <c r="D10" s="7"/>
      <c r="E10" s="2"/>
      <c r="F10" s="10" t="s">
        <v>4</v>
      </c>
      <c r="G10" s="7"/>
      <c r="H10" s="7"/>
      <c r="I10" s="2"/>
      <c r="J10" s="8"/>
      <c r="K10" s="9"/>
      <c r="L10" s="10" t="s">
        <v>5</v>
      </c>
      <c r="M10" s="7"/>
      <c r="N10" s="2"/>
      <c r="O10" s="10" t="s">
        <v>6</v>
      </c>
      <c r="P10" s="7"/>
      <c r="Q10" s="2"/>
      <c r="R10" s="8"/>
      <c r="S10" s="9"/>
      <c r="T10" s="10" t="s">
        <v>7</v>
      </c>
      <c r="U10" s="2"/>
      <c r="V10" s="10" t="s">
        <v>8</v>
      </c>
      <c r="W10" s="2"/>
      <c r="X10" s="10" t="s">
        <v>9</v>
      </c>
      <c r="Y10" s="7"/>
      <c r="Z10" s="7"/>
      <c r="AA10" s="7"/>
      <c r="AB10" s="2"/>
    </row>
    <row r="11" ht="15.0" customHeight="1">
      <c r="A11" s="11" t="s">
        <v>10</v>
      </c>
      <c r="B11" s="12" t="s">
        <v>11</v>
      </c>
      <c r="C11" s="12">
        <v>2205.0</v>
      </c>
      <c r="D11" s="12">
        <v>2205.0</v>
      </c>
      <c r="E11" s="12" t="s">
        <v>12</v>
      </c>
      <c r="F11" s="12" t="s">
        <v>32</v>
      </c>
      <c r="G11" s="12">
        <v>1700.0</v>
      </c>
      <c r="H11" s="12">
        <v>1700.0</v>
      </c>
      <c r="I11" s="12" t="s">
        <v>32</v>
      </c>
      <c r="J11" s="4"/>
      <c r="K11" s="11" t="s">
        <v>10</v>
      </c>
      <c r="L11" s="12" t="s">
        <v>33</v>
      </c>
      <c r="M11" s="12">
        <v>1375.0</v>
      </c>
      <c r="N11" s="12" t="s">
        <v>34</v>
      </c>
      <c r="O11" s="12" t="s">
        <v>35</v>
      </c>
      <c r="P11" s="12">
        <v>1700.0</v>
      </c>
      <c r="Q11" s="12" t="s">
        <v>36</v>
      </c>
      <c r="R11" s="4"/>
      <c r="S11" s="11" t="s">
        <v>10</v>
      </c>
      <c r="T11" s="12">
        <v>1845.0</v>
      </c>
      <c r="U11" s="12" t="s">
        <v>37</v>
      </c>
      <c r="V11" s="12" t="s">
        <v>37</v>
      </c>
      <c r="W11" s="12">
        <v>1845.0</v>
      </c>
      <c r="X11" s="12" t="s">
        <v>33</v>
      </c>
      <c r="Y11" s="12">
        <v>1375.0</v>
      </c>
      <c r="Z11" s="12">
        <v>1375.0</v>
      </c>
      <c r="AA11" s="12">
        <v>1375.0</v>
      </c>
      <c r="AB11" s="12" t="s">
        <v>34</v>
      </c>
    </row>
    <row r="12" ht="15.0" customHeight="1">
      <c r="A12" s="13">
        <v>2.0</v>
      </c>
      <c r="B12" s="15">
        <v>201.0</v>
      </c>
      <c r="C12" s="21">
        <v>202.0</v>
      </c>
      <c r="D12" s="21">
        <v>203.0</v>
      </c>
      <c r="E12" s="15">
        <v>204.0</v>
      </c>
      <c r="F12" s="21">
        <v>205.0</v>
      </c>
      <c r="G12" s="21">
        <v>206.0</v>
      </c>
      <c r="H12" s="21">
        <v>207.0</v>
      </c>
      <c r="I12" s="21">
        <v>208.0</v>
      </c>
      <c r="J12" s="4"/>
      <c r="K12" s="13">
        <v>2.0</v>
      </c>
      <c r="L12" s="22">
        <v>201.0</v>
      </c>
      <c r="M12" s="14">
        <v>202.0</v>
      </c>
      <c r="N12" s="14">
        <v>203.0</v>
      </c>
      <c r="O12" s="23">
        <v>204.0</v>
      </c>
      <c r="P12" s="24">
        <v>205.0</v>
      </c>
      <c r="Q12" s="12">
        <v>206.0</v>
      </c>
      <c r="R12" s="4"/>
      <c r="S12" s="13">
        <v>2.0</v>
      </c>
      <c r="T12" s="21">
        <v>201.0</v>
      </c>
      <c r="U12" s="21">
        <v>208.0</v>
      </c>
      <c r="V12" s="21">
        <v>202.0</v>
      </c>
      <c r="W12" s="21">
        <v>209.0</v>
      </c>
      <c r="X12" s="15">
        <v>203.0</v>
      </c>
      <c r="Y12" s="21">
        <v>204.0</v>
      </c>
      <c r="Z12" s="21">
        <v>205.0</v>
      </c>
      <c r="AA12" s="15">
        <v>206.0</v>
      </c>
      <c r="AB12" s="15">
        <v>207.0</v>
      </c>
    </row>
    <row r="13" ht="15.0" customHeight="1">
      <c r="A13" s="13">
        <v>3.0</v>
      </c>
      <c r="B13" s="15">
        <v>301.0</v>
      </c>
      <c r="C13" s="15">
        <v>302.0</v>
      </c>
      <c r="D13" s="15">
        <v>303.0</v>
      </c>
      <c r="E13" s="15">
        <v>304.0</v>
      </c>
      <c r="F13" s="15">
        <v>305.0</v>
      </c>
      <c r="G13" s="11">
        <v>306.0</v>
      </c>
      <c r="H13" s="15">
        <v>307.0</v>
      </c>
      <c r="I13" s="15">
        <v>308.0</v>
      </c>
      <c r="J13" s="4"/>
      <c r="K13" s="13">
        <v>3.0</v>
      </c>
      <c r="L13" s="22">
        <v>301.0</v>
      </c>
      <c r="M13" s="22">
        <v>302.0</v>
      </c>
      <c r="N13" s="19">
        <v>303.0</v>
      </c>
      <c r="O13" s="21">
        <v>304.0</v>
      </c>
      <c r="P13" s="21">
        <v>305.0</v>
      </c>
      <c r="Q13" s="21">
        <v>306.0</v>
      </c>
      <c r="R13" s="4"/>
      <c r="S13" s="13">
        <v>3.0</v>
      </c>
      <c r="T13" s="11">
        <v>301.0</v>
      </c>
      <c r="U13" s="15">
        <v>308.0</v>
      </c>
      <c r="V13" s="15">
        <v>302.0</v>
      </c>
      <c r="W13" s="11">
        <v>309.0</v>
      </c>
      <c r="X13" s="15">
        <v>303.0</v>
      </c>
      <c r="Y13" s="11">
        <v>304.0</v>
      </c>
      <c r="Z13" s="15">
        <v>305.0</v>
      </c>
      <c r="AA13" s="15">
        <v>306.0</v>
      </c>
      <c r="AB13" s="15">
        <v>307.0</v>
      </c>
    </row>
    <row r="14" ht="15.0" customHeight="1">
      <c r="A14" s="13">
        <v>4.0</v>
      </c>
      <c r="B14" s="15">
        <v>401.0</v>
      </c>
      <c r="C14" s="15">
        <v>402.0</v>
      </c>
      <c r="D14" s="15">
        <v>403.0</v>
      </c>
      <c r="E14" s="15">
        <v>404.0</v>
      </c>
      <c r="F14" s="15">
        <v>405.0</v>
      </c>
      <c r="G14" s="15">
        <v>406.0</v>
      </c>
      <c r="H14" s="15">
        <v>407.0</v>
      </c>
      <c r="I14" s="15">
        <v>408.0</v>
      </c>
      <c r="J14" s="4"/>
      <c r="K14" s="13">
        <v>4.0</v>
      </c>
      <c r="L14" s="15">
        <v>401.0</v>
      </c>
      <c r="M14" s="19">
        <v>402.0</v>
      </c>
      <c r="N14" s="19">
        <v>403.0</v>
      </c>
      <c r="O14" s="19">
        <v>404.0</v>
      </c>
      <c r="P14" s="19">
        <v>405.0</v>
      </c>
      <c r="Q14" s="19">
        <v>406.0</v>
      </c>
      <c r="R14" s="4"/>
      <c r="S14" s="13">
        <v>4.0</v>
      </c>
      <c r="T14" s="15">
        <v>401.0</v>
      </c>
      <c r="U14" s="15">
        <v>408.0</v>
      </c>
      <c r="V14" s="15">
        <v>402.0</v>
      </c>
      <c r="W14" s="15">
        <v>409.0</v>
      </c>
      <c r="X14" s="15">
        <v>403.0</v>
      </c>
      <c r="Y14" s="11">
        <v>404.0</v>
      </c>
      <c r="Z14" s="15">
        <v>405.0</v>
      </c>
      <c r="AA14" s="15">
        <v>406.0</v>
      </c>
      <c r="AB14" s="15">
        <v>407.0</v>
      </c>
    </row>
    <row r="15" ht="15.0" customHeight="1">
      <c r="A15" s="13">
        <v>5.0</v>
      </c>
      <c r="B15" s="15">
        <v>501.0</v>
      </c>
      <c r="C15" s="15">
        <v>502.0</v>
      </c>
      <c r="D15" s="21">
        <v>503.0</v>
      </c>
      <c r="E15" s="15">
        <v>504.0</v>
      </c>
      <c r="F15" s="15">
        <v>505.0</v>
      </c>
      <c r="G15" s="11">
        <v>506.0</v>
      </c>
      <c r="H15" s="15">
        <v>507.0</v>
      </c>
      <c r="I15" s="15">
        <v>508.0</v>
      </c>
      <c r="J15" s="4"/>
      <c r="K15" s="13">
        <v>5.0</v>
      </c>
      <c r="L15" s="15">
        <v>501.0</v>
      </c>
      <c r="M15" s="15">
        <v>502.0</v>
      </c>
      <c r="N15" s="19">
        <v>503.0</v>
      </c>
      <c r="O15" s="15">
        <v>504.0</v>
      </c>
      <c r="P15" s="11">
        <v>505.0</v>
      </c>
      <c r="Q15" s="15">
        <v>506.0</v>
      </c>
      <c r="R15" s="4"/>
      <c r="S15" s="13">
        <v>5.0</v>
      </c>
      <c r="T15" s="15">
        <v>501.0</v>
      </c>
      <c r="U15" s="15">
        <v>508.0</v>
      </c>
      <c r="V15" s="15">
        <v>502.0</v>
      </c>
      <c r="W15" s="11">
        <v>509.0</v>
      </c>
      <c r="X15" s="15">
        <v>503.0</v>
      </c>
      <c r="Y15" s="11">
        <v>504.0</v>
      </c>
      <c r="Z15" s="15">
        <v>505.0</v>
      </c>
      <c r="AA15" s="15">
        <v>506.0</v>
      </c>
      <c r="AB15" s="15">
        <v>507.0</v>
      </c>
    </row>
    <row r="16" ht="15.0" customHeight="1">
      <c r="A16" s="13">
        <v>6.0</v>
      </c>
      <c r="B16" s="15">
        <v>601.0</v>
      </c>
      <c r="C16" s="15">
        <v>602.0</v>
      </c>
      <c r="D16" s="15">
        <v>603.0</v>
      </c>
      <c r="E16" s="15">
        <v>604.0</v>
      </c>
      <c r="F16" s="15">
        <v>605.0</v>
      </c>
      <c r="G16" s="15">
        <v>606.0</v>
      </c>
      <c r="H16" s="15">
        <v>607.0</v>
      </c>
      <c r="I16" s="15">
        <v>608.0</v>
      </c>
      <c r="J16" s="4"/>
      <c r="K16" s="13">
        <v>6.0</v>
      </c>
      <c r="L16" s="15">
        <v>601.0</v>
      </c>
      <c r="M16" s="15">
        <v>602.0</v>
      </c>
      <c r="N16" s="15">
        <v>603.0</v>
      </c>
      <c r="O16" s="15">
        <v>604.0</v>
      </c>
      <c r="P16" s="15">
        <v>605.0</v>
      </c>
      <c r="Q16" s="15">
        <v>606.0</v>
      </c>
      <c r="R16" s="4"/>
      <c r="S16" s="13">
        <v>6.0</v>
      </c>
      <c r="T16" s="15">
        <v>601.0</v>
      </c>
      <c r="U16" s="15">
        <v>608.0</v>
      </c>
      <c r="V16" s="15">
        <v>602.0</v>
      </c>
      <c r="W16" s="15">
        <v>609.0</v>
      </c>
      <c r="X16" s="15">
        <v>603.0</v>
      </c>
      <c r="Y16" s="15">
        <v>604.0</v>
      </c>
      <c r="Z16" s="15">
        <v>605.0</v>
      </c>
      <c r="AA16" s="15">
        <v>606.0</v>
      </c>
      <c r="AB16" s="15">
        <v>607.0</v>
      </c>
    </row>
    <row r="17" ht="15.0" customHeight="1">
      <c r="A17" s="13">
        <v>7.0</v>
      </c>
      <c r="B17" s="15">
        <v>701.0</v>
      </c>
      <c r="C17" s="15">
        <v>702.0</v>
      </c>
      <c r="D17" s="15">
        <v>703.0</v>
      </c>
      <c r="E17" s="15">
        <v>704.0</v>
      </c>
      <c r="F17" s="15">
        <v>705.0</v>
      </c>
      <c r="G17" s="15">
        <v>706.0</v>
      </c>
      <c r="H17" s="15">
        <v>707.0</v>
      </c>
      <c r="I17" s="15">
        <v>708.0</v>
      </c>
      <c r="J17" s="4"/>
      <c r="K17" s="13">
        <v>7.0</v>
      </c>
      <c r="L17" s="15">
        <v>701.0</v>
      </c>
      <c r="M17" s="15">
        <v>702.0</v>
      </c>
      <c r="N17" s="15">
        <v>703.0</v>
      </c>
      <c r="O17" s="15">
        <v>704.0</v>
      </c>
      <c r="P17" s="15">
        <v>705.0</v>
      </c>
      <c r="Q17" s="15">
        <v>706.0</v>
      </c>
      <c r="R17" s="4"/>
      <c r="S17" s="13">
        <v>7.0</v>
      </c>
      <c r="T17" s="15">
        <v>701.0</v>
      </c>
      <c r="U17" s="15">
        <v>708.0</v>
      </c>
      <c r="V17" s="15">
        <v>702.0</v>
      </c>
      <c r="W17" s="15">
        <v>709.0</v>
      </c>
      <c r="X17" s="15">
        <v>703.0</v>
      </c>
      <c r="Y17" s="15">
        <v>704.0</v>
      </c>
      <c r="Z17" s="11">
        <v>705.0</v>
      </c>
      <c r="AA17" s="11">
        <v>706.0</v>
      </c>
      <c r="AB17" s="11">
        <v>707.0</v>
      </c>
    </row>
    <row r="18" ht="15.0" customHeight="1">
      <c r="A18" s="13">
        <v>8.0</v>
      </c>
      <c r="B18" s="15">
        <v>801.0</v>
      </c>
      <c r="C18" s="15">
        <v>802.0</v>
      </c>
      <c r="D18" s="15">
        <v>803.0</v>
      </c>
      <c r="E18" s="15">
        <v>804.0</v>
      </c>
      <c r="F18" s="15">
        <v>805.0</v>
      </c>
      <c r="G18" s="11">
        <v>806.0</v>
      </c>
      <c r="H18" s="11">
        <v>807.0</v>
      </c>
      <c r="I18" s="15">
        <v>808.0</v>
      </c>
      <c r="J18" s="4"/>
      <c r="K18" s="13">
        <v>8.0</v>
      </c>
      <c r="L18" s="15">
        <v>801.0</v>
      </c>
      <c r="M18" s="15">
        <v>802.0</v>
      </c>
      <c r="N18" s="15">
        <v>803.0</v>
      </c>
      <c r="O18" s="15">
        <v>804.0</v>
      </c>
      <c r="P18" s="15">
        <v>805.0</v>
      </c>
      <c r="Q18" s="21">
        <v>806.0</v>
      </c>
      <c r="R18" s="4"/>
      <c r="S18" s="13">
        <v>8.0</v>
      </c>
      <c r="T18" s="15">
        <v>801.0</v>
      </c>
      <c r="U18" s="15">
        <v>808.0</v>
      </c>
      <c r="V18" s="15">
        <v>802.0</v>
      </c>
      <c r="W18" s="15">
        <v>809.0</v>
      </c>
      <c r="X18" s="15">
        <v>803.0</v>
      </c>
      <c r="Y18" s="15">
        <v>804.0</v>
      </c>
      <c r="Z18" s="11">
        <v>805.0</v>
      </c>
      <c r="AA18" s="11">
        <v>806.0</v>
      </c>
      <c r="AB18" s="15">
        <v>807.0</v>
      </c>
    </row>
    <row r="19" ht="15.0" customHeight="1">
      <c r="A19" s="13">
        <v>9.0</v>
      </c>
      <c r="B19" s="15">
        <v>901.0</v>
      </c>
      <c r="C19" s="15">
        <v>902.0</v>
      </c>
      <c r="D19" s="15">
        <v>903.0</v>
      </c>
      <c r="E19" s="15">
        <v>904.0</v>
      </c>
      <c r="F19" s="15">
        <v>905.0</v>
      </c>
      <c r="G19" s="15">
        <v>906.0</v>
      </c>
      <c r="H19" s="11">
        <v>907.0</v>
      </c>
      <c r="I19" s="15">
        <v>908.0</v>
      </c>
      <c r="J19" s="4"/>
      <c r="K19" s="13">
        <v>9.0</v>
      </c>
      <c r="L19" s="15">
        <v>901.0</v>
      </c>
      <c r="M19" s="15">
        <v>902.0</v>
      </c>
      <c r="N19" s="15">
        <v>903.0</v>
      </c>
      <c r="O19" s="15">
        <v>904.0</v>
      </c>
      <c r="P19" s="11">
        <v>905.0</v>
      </c>
      <c r="Q19" s="15">
        <v>906.0</v>
      </c>
      <c r="R19" s="4"/>
      <c r="S19" s="13">
        <v>9.0</v>
      </c>
      <c r="T19" s="15">
        <v>901.0</v>
      </c>
      <c r="U19" s="15">
        <v>908.0</v>
      </c>
      <c r="V19" s="15">
        <v>902.0</v>
      </c>
      <c r="W19" s="15">
        <v>909.0</v>
      </c>
      <c r="X19" s="15">
        <v>903.0</v>
      </c>
      <c r="Y19" s="15">
        <v>904.0</v>
      </c>
      <c r="Z19" s="11">
        <v>905.0</v>
      </c>
      <c r="AA19" s="11">
        <v>906.0</v>
      </c>
      <c r="AB19" s="15">
        <v>907.0</v>
      </c>
    </row>
    <row r="20" ht="15.0" customHeight="1">
      <c r="A20" s="13">
        <v>10.0</v>
      </c>
      <c r="B20" s="15">
        <v>1001.0</v>
      </c>
      <c r="C20" s="15">
        <v>1002.0</v>
      </c>
      <c r="D20" s="15">
        <v>1003.0</v>
      </c>
      <c r="E20" s="15">
        <v>1004.0</v>
      </c>
      <c r="F20" s="15">
        <v>1005.0</v>
      </c>
      <c r="G20" s="11">
        <v>1006.0</v>
      </c>
      <c r="H20" s="15">
        <v>1007.0</v>
      </c>
      <c r="I20" s="15">
        <v>1008.0</v>
      </c>
      <c r="J20" s="4"/>
      <c r="K20" s="13">
        <v>10.0</v>
      </c>
      <c r="L20" s="15">
        <v>1001.0</v>
      </c>
      <c r="M20" s="15">
        <v>1002.0</v>
      </c>
      <c r="N20" s="15">
        <v>1003.0</v>
      </c>
      <c r="O20" s="15">
        <v>1004.0</v>
      </c>
      <c r="P20" s="15">
        <v>1005.0</v>
      </c>
      <c r="Q20" s="15">
        <v>1006.0</v>
      </c>
      <c r="R20" s="4"/>
      <c r="S20" s="13">
        <v>10.0</v>
      </c>
      <c r="T20" s="15">
        <v>1001.0</v>
      </c>
      <c r="U20" s="15">
        <v>1008.0</v>
      </c>
      <c r="V20" s="15">
        <v>1002.0</v>
      </c>
      <c r="W20" s="15">
        <v>1009.0</v>
      </c>
      <c r="X20" s="15">
        <v>1003.0</v>
      </c>
      <c r="Y20" s="15">
        <v>1004.0</v>
      </c>
      <c r="Z20" s="15">
        <v>1005.0</v>
      </c>
      <c r="AA20" s="15">
        <v>1006.0</v>
      </c>
      <c r="AB20" s="15">
        <v>1007.0</v>
      </c>
    </row>
    <row r="21" ht="15.0" customHeight="1">
      <c r="A21" s="13">
        <v>11.0</v>
      </c>
      <c r="B21" s="15">
        <v>1101.0</v>
      </c>
      <c r="C21" s="15">
        <v>1102.0</v>
      </c>
      <c r="D21" s="15">
        <v>1103.0</v>
      </c>
      <c r="E21" s="15">
        <v>1104.0</v>
      </c>
      <c r="F21" s="15">
        <v>1105.0</v>
      </c>
      <c r="G21" s="11">
        <v>1106.0</v>
      </c>
      <c r="H21" s="11">
        <v>1107.0</v>
      </c>
      <c r="I21" s="15">
        <v>1108.0</v>
      </c>
      <c r="J21" s="4"/>
      <c r="K21" s="13">
        <v>11.0</v>
      </c>
      <c r="L21" s="15">
        <v>1101.0</v>
      </c>
      <c r="M21" s="15">
        <v>1102.0</v>
      </c>
      <c r="N21" s="15">
        <v>1103.0</v>
      </c>
      <c r="O21" s="25">
        <v>1104.0</v>
      </c>
      <c r="P21" s="15">
        <v>1105.0</v>
      </c>
      <c r="Q21" s="15">
        <v>1106.0</v>
      </c>
      <c r="R21" s="4"/>
      <c r="S21" s="13">
        <v>11.0</v>
      </c>
      <c r="T21" s="15">
        <v>1101.0</v>
      </c>
      <c r="U21" s="15">
        <v>1108.0</v>
      </c>
      <c r="V21" s="15">
        <v>1102.0</v>
      </c>
      <c r="W21" s="11">
        <v>1109.0</v>
      </c>
      <c r="X21" s="15">
        <v>1103.0</v>
      </c>
      <c r="Y21" s="11">
        <v>1104.0</v>
      </c>
      <c r="Z21" s="11">
        <v>1105.0</v>
      </c>
      <c r="AA21" s="11">
        <v>1106.0</v>
      </c>
      <c r="AB21" s="15">
        <v>1107.0</v>
      </c>
    </row>
    <row r="22" ht="15.0" customHeight="1">
      <c r="A22" s="13">
        <v>12.0</v>
      </c>
      <c r="B22" s="15">
        <v>1201.0</v>
      </c>
      <c r="C22" s="15">
        <v>1202.0</v>
      </c>
      <c r="D22" s="26">
        <v>1203.0</v>
      </c>
      <c r="E22" s="15">
        <v>1204.0</v>
      </c>
      <c r="F22" s="15">
        <v>1205.0</v>
      </c>
      <c r="G22" s="11">
        <v>1206.0</v>
      </c>
      <c r="H22" s="11">
        <v>1207.0</v>
      </c>
      <c r="I22" s="15">
        <v>1208.0</v>
      </c>
      <c r="J22" s="4"/>
      <c r="K22" s="13">
        <v>12.0</v>
      </c>
      <c r="L22" s="18">
        <v>1201.0</v>
      </c>
      <c r="M22" s="18">
        <v>1202.0</v>
      </c>
      <c r="N22" s="15">
        <v>1203.0</v>
      </c>
      <c r="O22" s="27">
        <v>1204.0</v>
      </c>
      <c r="P22" s="28">
        <v>1205.0</v>
      </c>
      <c r="Q22" s="15">
        <v>1206.0</v>
      </c>
      <c r="R22" s="4"/>
      <c r="S22" s="13">
        <v>12.0</v>
      </c>
      <c r="T22" s="15">
        <v>1201.0</v>
      </c>
      <c r="U22" s="15">
        <v>1208.0</v>
      </c>
      <c r="V22" s="15">
        <v>1202.0</v>
      </c>
      <c r="W22" s="15">
        <v>1209.0</v>
      </c>
      <c r="X22" s="15">
        <v>1203.0</v>
      </c>
      <c r="Y22" s="11">
        <v>1204.0</v>
      </c>
      <c r="Z22" s="11">
        <v>1205.0</v>
      </c>
      <c r="AA22" s="11">
        <v>1206.0</v>
      </c>
      <c r="AB22" s="15">
        <v>1207.0</v>
      </c>
    </row>
    <row r="23" ht="15.0" customHeight="1">
      <c r="A23" s="13">
        <v>13.0</v>
      </c>
      <c r="B23" s="14">
        <v>1301.0</v>
      </c>
      <c r="C23" s="15">
        <v>1302.0</v>
      </c>
      <c r="D23" s="15">
        <v>1303.0</v>
      </c>
      <c r="E23" s="14">
        <v>1304.0</v>
      </c>
      <c r="F23" s="14">
        <v>1305.0</v>
      </c>
      <c r="G23" s="14">
        <v>1306.0</v>
      </c>
      <c r="H23" s="14">
        <v>1307.0</v>
      </c>
      <c r="I23" s="14">
        <v>1308.0</v>
      </c>
      <c r="J23" s="4"/>
      <c r="K23" s="13">
        <v>13.0</v>
      </c>
      <c r="L23" s="14">
        <v>1301.0</v>
      </c>
      <c r="M23" s="14">
        <v>1302.0</v>
      </c>
      <c r="N23" s="14">
        <v>1303.0</v>
      </c>
      <c r="O23" s="14">
        <v>1304.0</v>
      </c>
      <c r="P23" s="29">
        <v>1305.0</v>
      </c>
      <c r="Q23" s="14">
        <v>1306.0</v>
      </c>
      <c r="R23" s="4"/>
      <c r="S23" s="13">
        <v>13.0</v>
      </c>
      <c r="T23" s="14">
        <v>1301.0</v>
      </c>
      <c r="U23" s="14">
        <v>1308.0</v>
      </c>
      <c r="V23" s="14">
        <v>1302.0</v>
      </c>
      <c r="W23" s="14">
        <v>1309.0</v>
      </c>
      <c r="X23" s="15">
        <v>1303.0</v>
      </c>
      <c r="Y23" s="14">
        <v>1304.0</v>
      </c>
      <c r="Z23" s="14">
        <v>1305.0</v>
      </c>
      <c r="AA23" s="15">
        <v>1306.0</v>
      </c>
      <c r="AB23" s="14">
        <v>1307.0</v>
      </c>
    </row>
    <row r="24" ht="15.0" customHeight="1">
      <c r="A24" s="13">
        <v>14.0</v>
      </c>
      <c r="B24" s="15">
        <v>1401.0</v>
      </c>
      <c r="C24" s="30">
        <v>1402.0</v>
      </c>
      <c r="D24" s="15">
        <v>1403.0</v>
      </c>
      <c r="E24" s="15">
        <v>1404.0</v>
      </c>
      <c r="F24" s="15">
        <v>1405.0</v>
      </c>
      <c r="G24" s="15">
        <v>1406.0</v>
      </c>
      <c r="H24" s="15">
        <v>1407.0</v>
      </c>
      <c r="I24" s="15">
        <v>1408.0</v>
      </c>
      <c r="J24" s="4"/>
      <c r="K24" s="13">
        <v>14.0</v>
      </c>
      <c r="L24" s="19">
        <v>1401.0</v>
      </c>
      <c r="M24" s="19">
        <v>1402.0</v>
      </c>
      <c r="N24" s="19">
        <v>1403.0</v>
      </c>
      <c r="O24" s="19">
        <v>1404.0</v>
      </c>
      <c r="P24" s="15">
        <v>1405.0</v>
      </c>
      <c r="Q24" s="31">
        <v>1406.0</v>
      </c>
      <c r="R24" s="4"/>
      <c r="S24" s="13">
        <v>14.0</v>
      </c>
      <c r="T24" s="15">
        <v>1401.0</v>
      </c>
      <c r="U24" s="15">
        <v>1408.0</v>
      </c>
      <c r="V24" s="15">
        <v>1402.0</v>
      </c>
      <c r="W24" s="15">
        <v>1409.0</v>
      </c>
      <c r="X24" s="15">
        <v>1403.0</v>
      </c>
      <c r="Y24" s="15">
        <v>1404.0</v>
      </c>
      <c r="Z24" s="15">
        <v>1405.0</v>
      </c>
      <c r="AA24" s="15">
        <v>1406.0</v>
      </c>
      <c r="AB24" s="11">
        <v>1407.0</v>
      </c>
    </row>
    <row r="25" ht="15.0" customHeight="1">
      <c r="A25" s="13">
        <v>15.0</v>
      </c>
      <c r="B25" s="15">
        <v>1501.0</v>
      </c>
      <c r="C25" s="15">
        <v>1502.0</v>
      </c>
      <c r="D25" s="15">
        <v>1503.0</v>
      </c>
      <c r="E25" s="15">
        <v>1504.0</v>
      </c>
      <c r="F25" s="15">
        <v>1505.0</v>
      </c>
      <c r="G25" s="11">
        <v>1506.0</v>
      </c>
      <c r="H25" s="11">
        <v>1507.0</v>
      </c>
      <c r="I25" s="15">
        <v>1508.0</v>
      </c>
      <c r="J25" s="4"/>
      <c r="K25" s="13">
        <v>15.0</v>
      </c>
      <c r="L25" s="15">
        <v>1501.0</v>
      </c>
      <c r="M25" s="19">
        <v>1502.0</v>
      </c>
      <c r="N25" s="15">
        <v>1503.0</v>
      </c>
      <c r="O25" s="32">
        <v>1504.0</v>
      </c>
      <c r="P25" s="32">
        <v>1505.0</v>
      </c>
      <c r="Q25" s="32">
        <v>1506.0</v>
      </c>
      <c r="R25" s="4"/>
      <c r="S25" s="13">
        <v>15.0</v>
      </c>
      <c r="T25" s="15">
        <v>1501.0</v>
      </c>
      <c r="U25" s="15">
        <v>1508.0</v>
      </c>
      <c r="V25" s="15">
        <v>1502.0</v>
      </c>
      <c r="W25" s="11">
        <v>1509.0</v>
      </c>
      <c r="X25" s="15">
        <v>1503.0</v>
      </c>
      <c r="Y25" s="11">
        <v>1504.0</v>
      </c>
      <c r="Z25" s="11">
        <v>1505.0</v>
      </c>
      <c r="AA25" s="11">
        <v>1506.0</v>
      </c>
      <c r="AB25" s="15">
        <v>1507.0</v>
      </c>
    </row>
    <row r="26" ht="15.0" customHeight="1">
      <c r="A26" s="13">
        <v>16.0</v>
      </c>
      <c r="B26" s="15">
        <v>1601.0</v>
      </c>
      <c r="C26" s="15">
        <v>1602.0</v>
      </c>
      <c r="D26" s="21">
        <v>1603.0</v>
      </c>
      <c r="E26" s="15">
        <v>1604.0</v>
      </c>
      <c r="F26" s="15">
        <v>1605.0</v>
      </c>
      <c r="G26" s="11">
        <v>1606.0</v>
      </c>
      <c r="H26" s="11">
        <v>1607.0</v>
      </c>
      <c r="I26" s="15">
        <v>1608.0</v>
      </c>
      <c r="J26" s="4"/>
      <c r="K26" s="13">
        <v>16.0</v>
      </c>
      <c r="L26" s="15">
        <v>1601.0</v>
      </c>
      <c r="M26" s="19">
        <v>1602.0</v>
      </c>
      <c r="N26" s="15">
        <v>1603.0</v>
      </c>
      <c r="O26" s="30">
        <v>1604.0</v>
      </c>
      <c r="P26" s="11">
        <v>1605.0</v>
      </c>
      <c r="Q26" s="11">
        <v>1606.0</v>
      </c>
      <c r="R26" s="4"/>
      <c r="S26" s="13">
        <v>16.0</v>
      </c>
      <c r="T26" s="15">
        <v>1601.0</v>
      </c>
      <c r="U26" s="15">
        <v>1608.0</v>
      </c>
      <c r="V26" s="15">
        <v>1602.0</v>
      </c>
      <c r="W26" s="11">
        <v>1609.0</v>
      </c>
      <c r="X26" s="30">
        <v>1603.0</v>
      </c>
      <c r="Y26" s="15">
        <v>1604.0</v>
      </c>
      <c r="Z26" s="11">
        <v>1605.0</v>
      </c>
      <c r="AA26" s="11">
        <v>1606.0</v>
      </c>
      <c r="AB26" s="15">
        <v>1607.0</v>
      </c>
    </row>
    <row r="27" ht="15.0" customHeight="1">
      <c r="A27" s="13">
        <v>17.0</v>
      </c>
      <c r="B27" s="15">
        <v>1701.0</v>
      </c>
      <c r="C27" s="15">
        <v>1702.0</v>
      </c>
      <c r="D27" s="15">
        <v>1703.0</v>
      </c>
      <c r="E27" s="15">
        <v>1704.0</v>
      </c>
      <c r="F27" s="11">
        <v>1705.0</v>
      </c>
      <c r="G27" s="11">
        <v>1706.0</v>
      </c>
      <c r="H27" s="11">
        <v>1707.0</v>
      </c>
      <c r="I27" s="15">
        <v>1708.0</v>
      </c>
      <c r="J27" s="4"/>
      <c r="K27" s="13">
        <v>17.0</v>
      </c>
      <c r="L27" s="15">
        <v>1701.0</v>
      </c>
      <c r="M27" s="21">
        <v>1702.0</v>
      </c>
      <c r="N27" s="15">
        <v>1703.0</v>
      </c>
      <c r="O27" s="12">
        <v>1704.0</v>
      </c>
      <c r="P27" s="33">
        <v>1705.0</v>
      </c>
      <c r="Q27" s="12">
        <v>1706.0</v>
      </c>
      <c r="R27" s="4"/>
      <c r="S27" s="13">
        <v>17.0</v>
      </c>
      <c r="T27" s="11">
        <v>1701.0</v>
      </c>
      <c r="U27" s="15">
        <v>1708.0</v>
      </c>
      <c r="V27" s="15">
        <v>1702.0</v>
      </c>
      <c r="W27" s="11">
        <v>1709.0</v>
      </c>
      <c r="X27" s="15">
        <v>1703.0</v>
      </c>
      <c r="Y27" s="11">
        <v>1704.0</v>
      </c>
      <c r="Z27" s="11">
        <v>1705.0</v>
      </c>
      <c r="AA27" s="11">
        <v>1706.0</v>
      </c>
      <c r="AB27" s="11">
        <v>1707.0</v>
      </c>
    </row>
    <row r="28" ht="15.0" customHeight="1">
      <c r="A28" s="13">
        <v>18.0</v>
      </c>
      <c r="B28" s="15">
        <v>1801.0</v>
      </c>
      <c r="C28" s="15">
        <v>1802.0</v>
      </c>
      <c r="D28" s="15">
        <v>1803.0</v>
      </c>
      <c r="E28" s="15">
        <v>1804.0</v>
      </c>
      <c r="F28" s="15">
        <v>1805.0</v>
      </c>
      <c r="G28" s="15">
        <v>1806.0</v>
      </c>
      <c r="H28" s="11">
        <v>1807.0</v>
      </c>
      <c r="I28" s="15">
        <v>1808.0</v>
      </c>
      <c r="J28" s="4"/>
      <c r="K28" s="13">
        <v>18.0</v>
      </c>
      <c r="L28" s="18">
        <v>1801.0</v>
      </c>
      <c r="M28" s="18">
        <v>1802.0</v>
      </c>
      <c r="N28" s="18">
        <v>1803.0</v>
      </c>
      <c r="O28" s="11">
        <v>1804.0</v>
      </c>
      <c r="P28" s="18">
        <v>1805.0</v>
      </c>
      <c r="Q28" s="18">
        <v>1806.0</v>
      </c>
      <c r="R28" s="4"/>
      <c r="S28" s="13">
        <v>18.0</v>
      </c>
      <c r="T28" s="15">
        <v>1801.0</v>
      </c>
      <c r="U28" s="15">
        <v>1808.0</v>
      </c>
      <c r="V28" s="15">
        <v>1802.0</v>
      </c>
      <c r="W28" s="15">
        <v>1809.0</v>
      </c>
      <c r="X28" s="15">
        <v>1803.0</v>
      </c>
      <c r="Y28" s="15">
        <v>1804.0</v>
      </c>
      <c r="Z28" s="15">
        <v>1805.0</v>
      </c>
      <c r="AA28" s="15">
        <v>1806.0</v>
      </c>
      <c r="AB28" s="11">
        <v>1807.0</v>
      </c>
    </row>
    <row r="29" ht="15.0" customHeight="1">
      <c r="A29" s="13">
        <v>19.0</v>
      </c>
      <c r="B29" s="15">
        <v>1901.0</v>
      </c>
      <c r="C29" s="15">
        <v>1902.0</v>
      </c>
      <c r="D29" s="26">
        <v>1903.0</v>
      </c>
      <c r="E29" s="15">
        <v>1904.0</v>
      </c>
      <c r="F29" s="26">
        <v>1905.0</v>
      </c>
      <c r="G29" s="26">
        <v>1906.0</v>
      </c>
      <c r="H29" s="21">
        <v>1907.0</v>
      </c>
      <c r="I29" s="21">
        <v>1908.0</v>
      </c>
      <c r="J29" s="4"/>
      <c r="K29" s="13">
        <v>19.0</v>
      </c>
      <c r="L29" s="18">
        <v>1901.0</v>
      </c>
      <c r="M29" s="18">
        <v>1902.0</v>
      </c>
      <c r="N29" s="26">
        <v>1903.0</v>
      </c>
      <c r="O29" s="26">
        <v>1904.0</v>
      </c>
      <c r="P29" s="26">
        <v>1905.0</v>
      </c>
      <c r="Q29" s="21">
        <v>1906.0</v>
      </c>
      <c r="R29" s="4"/>
      <c r="S29" s="13">
        <v>19.0</v>
      </c>
      <c r="T29" s="26">
        <v>1901.0</v>
      </c>
      <c r="U29" s="26">
        <v>1908.0</v>
      </c>
      <c r="V29" s="26">
        <v>1902.0</v>
      </c>
      <c r="W29" s="26">
        <v>1909.0</v>
      </c>
      <c r="X29" s="26">
        <v>1903.0</v>
      </c>
      <c r="Y29" s="21">
        <v>1904.0</v>
      </c>
      <c r="Z29" s="21">
        <v>1905.0</v>
      </c>
      <c r="AA29" s="21">
        <v>1906.0</v>
      </c>
      <c r="AB29" s="21">
        <v>1907.0</v>
      </c>
    </row>
    <row r="30" ht="15.0" customHeight="1">
      <c r="A30" s="13">
        <v>20.0</v>
      </c>
      <c r="B30" s="15">
        <v>2001.0</v>
      </c>
      <c r="C30" s="26">
        <v>2002.0</v>
      </c>
      <c r="D30" s="26">
        <v>2003.0</v>
      </c>
      <c r="E30" s="15">
        <v>2004.0</v>
      </c>
      <c r="F30" s="26">
        <v>2005.0</v>
      </c>
      <c r="G30" s="26">
        <v>2006.0</v>
      </c>
      <c r="H30" s="26">
        <v>2007.0</v>
      </c>
      <c r="I30" s="26">
        <v>2008.0</v>
      </c>
      <c r="J30" s="4"/>
      <c r="K30" s="13">
        <v>20.0</v>
      </c>
      <c r="L30" s="26">
        <v>2001.0</v>
      </c>
      <c r="M30" s="26">
        <v>2002.0</v>
      </c>
      <c r="N30" s="26">
        <v>2003.0</v>
      </c>
      <c r="O30" s="26">
        <v>2004.0</v>
      </c>
      <c r="P30" s="26">
        <v>2005.0</v>
      </c>
      <c r="Q30" s="26">
        <v>2006.0</v>
      </c>
      <c r="R30" s="4"/>
      <c r="S30" s="13">
        <v>20.0</v>
      </c>
      <c r="T30" s="26">
        <v>2001.0</v>
      </c>
      <c r="U30" s="26">
        <v>2008.0</v>
      </c>
      <c r="V30" s="26">
        <v>2002.0</v>
      </c>
      <c r="W30" s="26">
        <v>2009.0</v>
      </c>
      <c r="X30" s="26">
        <v>2003.0</v>
      </c>
      <c r="Y30" s="26">
        <v>2004.0</v>
      </c>
      <c r="Z30" s="26">
        <v>2005.0</v>
      </c>
      <c r="AA30" s="26">
        <v>2006.0</v>
      </c>
      <c r="AB30" s="26">
        <v>2007.0</v>
      </c>
    </row>
    <row r="31" ht="15.0" customHeight="1">
      <c r="A31" s="13">
        <v>21.0</v>
      </c>
      <c r="B31" s="15">
        <v>2101.0</v>
      </c>
      <c r="C31" s="15">
        <v>2102.0</v>
      </c>
      <c r="D31" s="15">
        <v>2103.0</v>
      </c>
      <c r="E31" s="15">
        <v>2104.0</v>
      </c>
      <c r="F31" s="11">
        <v>2105.0</v>
      </c>
      <c r="G31" s="11">
        <v>2106.0</v>
      </c>
      <c r="H31" s="11">
        <v>2107.0</v>
      </c>
      <c r="I31" s="15">
        <v>2108.0</v>
      </c>
      <c r="J31" s="4"/>
      <c r="K31" s="13">
        <v>21.0</v>
      </c>
      <c r="L31" s="19">
        <v>2101.0</v>
      </c>
      <c r="M31" s="34">
        <v>2102.0</v>
      </c>
      <c r="N31" s="19">
        <v>2103.0</v>
      </c>
      <c r="O31" s="19">
        <v>2104.0</v>
      </c>
      <c r="P31" s="32">
        <v>2105.0</v>
      </c>
      <c r="Q31" s="32">
        <v>2106.0</v>
      </c>
      <c r="R31" s="4"/>
      <c r="S31" s="13">
        <v>21.0</v>
      </c>
      <c r="T31" s="11">
        <v>2101.0</v>
      </c>
      <c r="U31" s="15">
        <v>2108.0</v>
      </c>
      <c r="V31" s="15">
        <v>2102.0</v>
      </c>
      <c r="W31" s="11">
        <v>2109.0</v>
      </c>
      <c r="X31" s="15">
        <v>2103.0</v>
      </c>
      <c r="Y31" s="11">
        <v>2104.0</v>
      </c>
      <c r="Z31" s="11">
        <v>2105.0</v>
      </c>
      <c r="AA31" s="11">
        <v>2106.0</v>
      </c>
      <c r="AB31" s="11">
        <v>2107.0</v>
      </c>
    </row>
    <row r="32" ht="15.0" customHeight="1">
      <c r="A32" s="13">
        <v>22.0</v>
      </c>
      <c r="B32" s="15">
        <v>2201.0</v>
      </c>
      <c r="C32" s="15">
        <v>2202.0</v>
      </c>
      <c r="D32" s="11">
        <v>2203.0</v>
      </c>
      <c r="E32" s="15">
        <v>2204.0</v>
      </c>
      <c r="F32" s="11">
        <v>2205.0</v>
      </c>
      <c r="G32" s="11">
        <v>2206.0</v>
      </c>
      <c r="H32" s="15">
        <v>2207.0</v>
      </c>
      <c r="I32" s="15">
        <v>2208.0</v>
      </c>
      <c r="J32" s="4"/>
      <c r="K32" s="13">
        <v>22.0</v>
      </c>
      <c r="L32" s="32">
        <v>2201.0</v>
      </c>
      <c r="M32" s="11">
        <v>2202.0</v>
      </c>
      <c r="N32" s="11">
        <v>2203.0</v>
      </c>
      <c r="O32" s="11">
        <v>2204.0</v>
      </c>
      <c r="P32" s="11">
        <v>2205.0</v>
      </c>
      <c r="Q32" s="11">
        <v>2206.0</v>
      </c>
      <c r="R32" s="4"/>
      <c r="S32" s="13">
        <v>22.0</v>
      </c>
      <c r="T32" s="11">
        <v>2201.0</v>
      </c>
      <c r="U32" s="15">
        <v>2208.0</v>
      </c>
      <c r="V32" s="11">
        <v>2202.0</v>
      </c>
      <c r="W32" s="11">
        <v>2209.0</v>
      </c>
      <c r="X32" s="11">
        <v>2203.0</v>
      </c>
      <c r="Y32" s="15">
        <v>2204.0</v>
      </c>
      <c r="Z32" s="11">
        <v>2205.0</v>
      </c>
      <c r="AA32" s="15">
        <v>2206.0</v>
      </c>
      <c r="AB32" s="11">
        <v>2207.0</v>
      </c>
    </row>
    <row r="33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ht="14.25" customHeight="1">
      <c r="A34" s="4"/>
      <c r="B34" s="35" t="s">
        <v>38</v>
      </c>
      <c r="C34" s="11" t="s">
        <v>39</v>
      </c>
      <c r="D34" s="36">
        <v>45.0</v>
      </c>
      <c r="E34" s="37">
        <v>81550.0</v>
      </c>
      <c r="F34" s="38"/>
      <c r="G34" s="4"/>
      <c r="H34" s="38"/>
      <c r="I34" s="4"/>
      <c r="J34" s="4"/>
      <c r="K34" s="4"/>
      <c r="L34" s="35" t="s">
        <v>40</v>
      </c>
      <c r="M34" s="11" t="s">
        <v>39</v>
      </c>
      <c r="N34" s="39">
        <v>41.0</v>
      </c>
      <c r="O34" s="40">
        <v>66450.0</v>
      </c>
      <c r="P34" s="38"/>
      <c r="Q34" s="4"/>
      <c r="R34" s="4"/>
      <c r="S34" s="4"/>
      <c r="T34" s="35" t="s">
        <v>41</v>
      </c>
      <c r="U34" s="11" t="s">
        <v>39</v>
      </c>
      <c r="V34" s="39">
        <v>72.0</v>
      </c>
      <c r="W34" s="40">
        <v>110750.0</v>
      </c>
      <c r="X34" s="38"/>
      <c r="Y34" s="4"/>
      <c r="Z34" s="4"/>
      <c r="AA34" s="4"/>
      <c r="AB34" s="4"/>
    </row>
    <row r="35" ht="14.25" customHeight="1">
      <c r="A35" s="4"/>
      <c r="B35" s="41"/>
      <c r="C35" s="11" t="s">
        <v>42</v>
      </c>
      <c r="D35" s="36">
        <v>18.0</v>
      </c>
      <c r="E35" s="37">
        <v>31780.0</v>
      </c>
      <c r="F35" s="38"/>
      <c r="G35" s="4"/>
      <c r="H35" s="38"/>
      <c r="I35" s="4"/>
      <c r="J35" s="4"/>
      <c r="K35" s="4"/>
      <c r="L35" s="41"/>
      <c r="M35" s="11" t="s">
        <v>42</v>
      </c>
      <c r="N35" s="39">
        <v>15.0</v>
      </c>
      <c r="O35" s="40">
        <v>22205.0</v>
      </c>
      <c r="P35" s="38"/>
      <c r="Q35" s="4"/>
      <c r="R35" s="4"/>
      <c r="S35" s="4"/>
      <c r="T35" s="41"/>
      <c r="U35" s="11" t="s">
        <v>42</v>
      </c>
      <c r="V35" s="39">
        <v>21.0</v>
      </c>
      <c r="W35" s="40">
        <v>32205.0</v>
      </c>
      <c r="X35" s="38"/>
      <c r="Y35" s="4"/>
      <c r="Z35" s="4"/>
      <c r="AA35" s="4"/>
      <c r="AB35" s="4"/>
    </row>
    <row r="36" ht="14.25" customHeight="1">
      <c r="A36" s="4"/>
      <c r="B36" s="42"/>
      <c r="C36" s="43" t="s">
        <v>43</v>
      </c>
      <c r="D36" s="43">
        <f t="shared" ref="D36:E36" si="1">D34+D35</f>
        <v>63</v>
      </c>
      <c r="E36" s="44">
        <f t="shared" si="1"/>
        <v>113330</v>
      </c>
      <c r="F36" s="45"/>
      <c r="G36" s="4"/>
      <c r="H36" s="4"/>
      <c r="I36" s="4"/>
      <c r="J36" s="4"/>
      <c r="K36" s="4"/>
      <c r="L36" s="42"/>
      <c r="M36" s="43" t="s">
        <v>43</v>
      </c>
      <c r="N36" s="43">
        <f>N34+N35</f>
        <v>56</v>
      </c>
      <c r="O36" s="44">
        <f>SUM(O34:O35)</f>
        <v>88655</v>
      </c>
      <c r="P36" s="4"/>
      <c r="Q36" s="4"/>
      <c r="R36" s="4"/>
      <c r="S36" s="4"/>
      <c r="T36" s="42"/>
      <c r="U36" s="43" t="s">
        <v>43</v>
      </c>
      <c r="V36" s="43">
        <f t="shared" ref="V36:W36" si="2">SUM(V34:V35)</f>
        <v>93</v>
      </c>
      <c r="W36" s="44">
        <f t="shared" si="2"/>
        <v>142955</v>
      </c>
      <c r="X36" s="4"/>
      <c r="Y36" s="4"/>
      <c r="Z36" s="4"/>
      <c r="AA36" s="4"/>
      <c r="AB36" s="4"/>
    </row>
    <row r="37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ht="14.25" customHeight="1">
      <c r="A38" s="4"/>
      <c r="B38" s="46" t="s">
        <v>44</v>
      </c>
      <c r="C38" s="7"/>
      <c r="D38" s="7"/>
      <c r="E38" s="2"/>
      <c r="F38" s="47">
        <f>D34+N34+V34</f>
        <v>158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ht="14.25" customHeight="1">
      <c r="A39" s="4"/>
      <c r="B39" s="46" t="s">
        <v>45</v>
      </c>
      <c r="C39" s="7"/>
      <c r="D39" s="7"/>
      <c r="E39" s="2"/>
      <c r="F39" s="43">
        <f>D36+N36+V36</f>
        <v>212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ht="14.25" customHeight="1">
      <c r="A40" s="4"/>
      <c r="B40" s="46" t="s">
        <v>46</v>
      </c>
      <c r="C40" s="7"/>
      <c r="D40" s="7"/>
      <c r="E40" s="2"/>
      <c r="F40" s="44">
        <f>SUM(E36,O36,W36)</f>
        <v>344940</v>
      </c>
      <c r="G40" s="38"/>
      <c r="H40" s="4"/>
      <c r="I40" s="4"/>
      <c r="J40" s="4"/>
      <c r="K40" s="4"/>
      <c r="L40" s="4"/>
      <c r="M40" s="4"/>
      <c r="N40" s="4"/>
      <c r="O40" s="38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38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 ht="14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 ht="14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 ht="14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 ht="14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 ht="14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 ht="14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 ht="14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 ht="14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 ht="14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 ht="14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 ht="14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 ht="14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 ht="14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 ht="14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 ht="14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 ht="14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 ht="14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 ht="14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 ht="14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 ht="14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 ht="14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 ht="14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 ht="14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 ht="14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 ht="14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 ht="14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 ht="14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 ht="14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 ht="14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 ht="14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 ht="14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 ht="14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 ht="14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 ht="14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 ht="14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 ht="14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 ht="14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 ht="14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 ht="14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 ht="14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 ht="14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 ht="14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 ht="14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 ht="14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 ht="14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 ht="14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 ht="14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 ht="14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 ht="14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 ht="14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 ht="14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 ht="14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 ht="14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 ht="14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 ht="14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 ht="14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 ht="14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 ht="14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 ht="14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 ht="14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 ht="14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 ht="14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 ht="14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 ht="14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 ht="14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 ht="14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 ht="14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 ht="14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 ht="14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 ht="14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 ht="14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 ht="14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 ht="14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 ht="14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 ht="14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 ht="14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 ht="14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 ht="14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 ht="14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 ht="14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 ht="14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 ht="14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 ht="14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 ht="14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 ht="14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 ht="14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 ht="14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 ht="14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 ht="14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 ht="14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 ht="14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 ht="14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 ht="14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 ht="14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 ht="14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 ht="14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 ht="14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 ht="14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 ht="14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 ht="14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 ht="14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 ht="14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 ht="14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 ht="14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 ht="14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 ht="14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 ht="14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 ht="14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 ht="14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 ht="14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 ht="14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 ht="14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 ht="14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 ht="14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 ht="14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 ht="14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 ht="14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 ht="14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 ht="14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 ht="14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 ht="14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 ht="14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 ht="14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 ht="14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 ht="14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 ht="14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 ht="14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 ht="14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 ht="14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 ht="14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 ht="14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 ht="14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 ht="14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 ht="14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 ht="14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 ht="14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 ht="14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 ht="14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 ht="14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 ht="14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 ht="14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 ht="14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 ht="14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 ht="14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 ht="14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 ht="14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 ht="14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 ht="14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 ht="14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 ht="14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 ht="14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 ht="14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 ht="14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 ht="14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 ht="14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 ht="14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 ht="14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 ht="14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 ht="14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 ht="14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 ht="14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 ht="14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 ht="14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 ht="14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 ht="14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 ht="14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 ht="14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 ht="14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 ht="14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 ht="14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 ht="14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 ht="14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 ht="14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 ht="14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 ht="14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 ht="14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 ht="14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 ht="14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 ht="14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 ht="14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 ht="14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 ht="14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 ht="14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 ht="14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 ht="14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 ht="14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 ht="14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 ht="14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 ht="14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 ht="14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 ht="14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 ht="14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 ht="14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 ht="14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 ht="14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 ht="14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 ht="14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 ht="14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 ht="14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 ht="14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 ht="14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 ht="14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 ht="14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 ht="14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 ht="14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 ht="14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 ht="14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 ht="14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 ht="14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 ht="14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 ht="14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 ht="14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 ht="14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 ht="14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 ht="14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 ht="14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 ht="14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 ht="14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 ht="14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 ht="14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 ht="14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 ht="14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 ht="14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 ht="14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 ht="14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 ht="14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 ht="14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 ht="14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 ht="14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 ht="14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 ht="14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 ht="14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 ht="14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 ht="14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 ht="14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 ht="14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 ht="14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 ht="14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 ht="14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 ht="14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 ht="14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 ht="14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 ht="14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 ht="14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 ht="14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 ht="14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 ht="14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 ht="14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 ht="14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 ht="14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 ht="14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 ht="14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 ht="14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 ht="14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 ht="14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 ht="14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 ht="14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 ht="14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 ht="14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 ht="14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 ht="14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 ht="14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 ht="14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 ht="14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 ht="14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 ht="14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 ht="14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 ht="14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 ht="14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 ht="14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 ht="14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 ht="14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 ht="14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 ht="14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 ht="14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 ht="14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 ht="14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 ht="14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 ht="14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 ht="14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 ht="14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 ht="14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 ht="14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 ht="14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 ht="14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 ht="14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 ht="14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 ht="14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 ht="14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 ht="14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 ht="14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 ht="14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 ht="14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 ht="14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 ht="14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 ht="14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 ht="14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 ht="14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 ht="14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 ht="14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 ht="14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 ht="14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 ht="14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 ht="14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 ht="14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 ht="14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 ht="14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 ht="14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 ht="14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 ht="14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 ht="14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 ht="14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 ht="14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 ht="14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 ht="14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 ht="14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 ht="14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 ht="14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 ht="14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 ht="14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 ht="14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 ht="14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 ht="14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 ht="14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 ht="14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 ht="14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 ht="14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 ht="14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 ht="14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 ht="14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 ht="14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 ht="14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 ht="14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 ht="14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 ht="14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 ht="14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 ht="14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 ht="14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 ht="14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 ht="14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 ht="14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 ht="14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 ht="14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 ht="14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 ht="14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 ht="14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 ht="14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 ht="14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 ht="14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 ht="14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 ht="14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 ht="14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 ht="14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 ht="14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 ht="14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 ht="14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 ht="14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 ht="14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 ht="14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 ht="14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 ht="14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 ht="14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 ht="14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 ht="14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 ht="14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 ht="14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 ht="14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 ht="14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 ht="14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 ht="14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 ht="14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 ht="14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 ht="14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 ht="14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 ht="14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 ht="14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 ht="14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 ht="14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 ht="14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 ht="14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 ht="14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 ht="14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 ht="14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 ht="14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 ht="14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 ht="14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 ht="14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 ht="14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 ht="14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 ht="14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 ht="14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 ht="14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 ht="14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 ht="14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 ht="14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 ht="14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 ht="14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 ht="14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 ht="14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 ht="14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 ht="14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 ht="14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 ht="14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 ht="14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 ht="14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 ht="14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 ht="14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 ht="14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 ht="14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 ht="14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 ht="14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 ht="14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 ht="14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 ht="14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 ht="14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 ht="14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 ht="14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 ht="14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 ht="14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 ht="14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 ht="14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 ht="14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 ht="14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 ht="14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 ht="14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 ht="14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 ht="14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 ht="14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 ht="14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 ht="14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 ht="14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 ht="14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 ht="14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 ht="14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 ht="14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 ht="14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 ht="14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 ht="14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 ht="14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 ht="14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 ht="14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 ht="14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 ht="14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 ht="14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 ht="14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 ht="14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 ht="14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 ht="14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 ht="14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 ht="14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 ht="14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 ht="14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 ht="14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 ht="14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 ht="14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 ht="14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 ht="14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 ht="14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 ht="14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 ht="14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 ht="14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 ht="14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 ht="14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 ht="14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 ht="14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 ht="14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 ht="14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 ht="14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 ht="14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 ht="14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 ht="14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 ht="14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 ht="14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 ht="14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 ht="14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 ht="14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 ht="14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 ht="14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 ht="14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 ht="14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 ht="14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 ht="14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 ht="14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 ht="14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 ht="14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 ht="14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 ht="14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 ht="14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 ht="14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 ht="14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 ht="14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 ht="14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 ht="14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 ht="14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 ht="14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 ht="14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 ht="14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 ht="14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 ht="14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 ht="14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 ht="14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 ht="14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 ht="14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 ht="14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 ht="14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 ht="14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 ht="14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 ht="14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 ht="14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 ht="14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 ht="14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 ht="14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 ht="14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 ht="14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 ht="14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 ht="14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 ht="14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 ht="14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 ht="14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 ht="14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 ht="14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 ht="14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 ht="14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 ht="14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 ht="14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 ht="14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 ht="14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 ht="14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 ht="14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 ht="14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 ht="14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 ht="14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 ht="14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 ht="14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 ht="14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 ht="14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 ht="14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 ht="14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 ht="14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 ht="14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 ht="14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 ht="14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 ht="14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 ht="14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 ht="14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 ht="14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 ht="14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 ht="14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 ht="14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 ht="14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 ht="14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 ht="14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 ht="14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 ht="14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 ht="14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 ht="14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 ht="14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 ht="14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 ht="14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 ht="14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 ht="14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 ht="14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 ht="14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 ht="14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 ht="14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 ht="14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 ht="14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 ht="14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 ht="14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 ht="14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 ht="14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 ht="14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 ht="14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 ht="14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 ht="14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 ht="14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 ht="14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 ht="14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 ht="14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 ht="14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 ht="14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 ht="14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 ht="14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 ht="14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 ht="14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 ht="14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 ht="14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 ht="14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 ht="14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 ht="14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 ht="14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 ht="14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 ht="14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 ht="14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 ht="14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 ht="14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 ht="14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 ht="14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 ht="14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 ht="14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 ht="14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 ht="14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 ht="14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 ht="14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 ht="14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 ht="14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 ht="14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 ht="14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 ht="14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 ht="14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 ht="14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 ht="14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 ht="14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 ht="14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 ht="14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 ht="14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 ht="14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 ht="14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 ht="14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 ht="14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 ht="14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 ht="14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 ht="14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 ht="14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 ht="14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 ht="14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 ht="14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 ht="14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 ht="14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 ht="14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 ht="14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 ht="14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 ht="14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 ht="14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 ht="14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 ht="14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 ht="14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 ht="14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 ht="14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 ht="14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 ht="14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 ht="14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 ht="14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 ht="14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 ht="14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 ht="14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 ht="14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 ht="14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 ht="14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 ht="14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 ht="14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 ht="14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 ht="14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 ht="14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 ht="14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 ht="14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 ht="14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 ht="14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 ht="14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 ht="14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 ht="14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 ht="14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 ht="14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 ht="14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 ht="14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 ht="14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 ht="14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 ht="14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 ht="14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 ht="14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 ht="14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 ht="14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 ht="14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 ht="14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 ht="14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 ht="14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 ht="14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 ht="14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 ht="14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 ht="14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 ht="14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 ht="14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 ht="14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 ht="14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 ht="14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 ht="14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 ht="14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 ht="14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 ht="14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 ht="14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 ht="14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 ht="14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 ht="14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 ht="14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 ht="14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 ht="14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 ht="14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 ht="14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 ht="14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 ht="14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 ht="14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 ht="14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 ht="14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 ht="14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 ht="14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 ht="14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 ht="14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 ht="14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 ht="14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 ht="14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 ht="14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 ht="14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 ht="14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 ht="14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 ht="14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 ht="14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 ht="14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 ht="14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 ht="14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 ht="14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 ht="14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 ht="14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 ht="14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 ht="14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 ht="14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 ht="14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 ht="14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 ht="14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 ht="14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 ht="14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 ht="14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 ht="14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 ht="14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 ht="14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 ht="14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 ht="14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 ht="14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 ht="14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 ht="14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 ht="14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 ht="14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 ht="14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 ht="14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 ht="14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 ht="14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 ht="14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 ht="14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 ht="14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 ht="14.2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 ht="14.2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 ht="14.2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  <row r="999" ht="14.2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</row>
    <row r="1000" ht="14.2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</row>
  </sheetData>
  <mergeCells count="27">
    <mergeCell ref="V3:W3"/>
    <mergeCell ref="X3:AB3"/>
    <mergeCell ref="A1:B1"/>
    <mergeCell ref="A2:I2"/>
    <mergeCell ref="K2:Q2"/>
    <mergeCell ref="S2:AB2"/>
    <mergeCell ref="B3:E3"/>
    <mergeCell ref="F3:I3"/>
    <mergeCell ref="L3:N3"/>
    <mergeCell ref="L10:N10"/>
    <mergeCell ref="O10:Q10"/>
    <mergeCell ref="B34:B36"/>
    <mergeCell ref="L34:L36"/>
    <mergeCell ref="T34:T36"/>
    <mergeCell ref="B38:E38"/>
    <mergeCell ref="B39:E39"/>
    <mergeCell ref="B40:E40"/>
    <mergeCell ref="T10:U10"/>
    <mergeCell ref="V10:W10"/>
    <mergeCell ref="O3:Q3"/>
    <mergeCell ref="T3:U3"/>
    <mergeCell ref="A9:I9"/>
    <mergeCell ref="K9:Q9"/>
    <mergeCell ref="S9:AB9"/>
    <mergeCell ref="B10:E10"/>
    <mergeCell ref="F10:I10"/>
    <mergeCell ref="X10:AB10"/>
  </mergeCells>
  <printOptions/>
  <pageMargins bottom="0.7480314960629921" footer="0.0" header="0.0" left="0.7086614173228347" right="0.7086696194225722" top="0.7480314960629921"/>
  <pageSetup paperSize="8" orientation="landscape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9.71"/>
    <col customWidth="1" min="2" max="9" width="11.29"/>
    <col customWidth="1" min="10" max="10" width="4.43"/>
    <col customWidth="1" min="11" max="11" width="9.71"/>
    <col customWidth="1" min="12" max="17" width="11.29"/>
    <col customWidth="1" min="18" max="18" width="4.43"/>
    <col customWidth="1" min="19" max="19" width="9.71"/>
    <col customWidth="1" min="20" max="28" width="11.29"/>
  </cols>
  <sheetData>
    <row r="1" ht="14.25" customHeight="1">
      <c r="A1" s="43" t="s">
        <v>47</v>
      </c>
      <c r="B1" s="48">
        <v>45756.0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  <c r="AB1" s="4"/>
    </row>
    <row r="2" ht="15.75" customHeight="1">
      <c r="A2" s="6" t="s">
        <v>0</v>
      </c>
      <c r="B2" s="7"/>
      <c r="C2" s="7"/>
      <c r="D2" s="7"/>
      <c r="E2" s="7"/>
      <c r="F2" s="7"/>
      <c r="G2" s="7"/>
      <c r="H2" s="7"/>
      <c r="I2" s="2"/>
      <c r="J2" s="8"/>
      <c r="K2" s="6" t="s">
        <v>1</v>
      </c>
      <c r="L2" s="7"/>
      <c r="M2" s="7"/>
      <c r="N2" s="7"/>
      <c r="O2" s="7"/>
      <c r="P2" s="7"/>
      <c r="Q2" s="2"/>
      <c r="R2" s="8"/>
      <c r="S2" s="6" t="s">
        <v>2</v>
      </c>
      <c r="T2" s="7"/>
      <c r="U2" s="7"/>
      <c r="V2" s="7"/>
      <c r="W2" s="7"/>
      <c r="X2" s="7"/>
      <c r="Y2" s="7"/>
      <c r="Z2" s="7"/>
      <c r="AA2" s="7"/>
      <c r="AB2" s="2"/>
    </row>
    <row r="3" ht="14.25" customHeight="1">
      <c r="A3" s="9"/>
      <c r="B3" s="10" t="s">
        <v>3</v>
      </c>
      <c r="C3" s="7"/>
      <c r="D3" s="7"/>
      <c r="E3" s="2"/>
      <c r="F3" s="10" t="s">
        <v>4</v>
      </c>
      <c r="G3" s="7"/>
      <c r="H3" s="7"/>
      <c r="I3" s="2"/>
      <c r="J3" s="8"/>
      <c r="K3" s="9"/>
      <c r="L3" s="10" t="s">
        <v>5</v>
      </c>
      <c r="M3" s="7"/>
      <c r="N3" s="2"/>
      <c r="O3" s="10" t="s">
        <v>6</v>
      </c>
      <c r="P3" s="7"/>
      <c r="Q3" s="2"/>
      <c r="R3" s="8"/>
      <c r="S3" s="9"/>
      <c r="T3" s="10" t="s">
        <v>7</v>
      </c>
      <c r="U3" s="2"/>
      <c r="V3" s="10" t="s">
        <v>8</v>
      </c>
      <c r="W3" s="2"/>
      <c r="X3" s="10" t="s">
        <v>9</v>
      </c>
      <c r="Y3" s="7"/>
      <c r="Z3" s="7"/>
      <c r="AA3" s="7"/>
      <c r="AB3" s="2"/>
    </row>
    <row r="4" ht="14.25" customHeight="1">
      <c r="A4" s="11" t="s">
        <v>10</v>
      </c>
      <c r="B4" s="12" t="s">
        <v>11</v>
      </c>
      <c r="C4" s="12">
        <v>2110.0</v>
      </c>
      <c r="D4" s="12">
        <v>1910.0</v>
      </c>
      <c r="E4" s="12" t="s">
        <v>12</v>
      </c>
      <c r="F4" s="12" t="s">
        <v>13</v>
      </c>
      <c r="G4" s="12">
        <v>1550.0</v>
      </c>
      <c r="H4" s="12">
        <v>1550.0</v>
      </c>
      <c r="I4" s="12" t="s">
        <v>13</v>
      </c>
      <c r="J4" s="4"/>
      <c r="K4" s="11" t="s">
        <v>10</v>
      </c>
      <c r="L4" s="12" t="s">
        <v>14</v>
      </c>
      <c r="M4" s="12">
        <v>1310.0</v>
      </c>
      <c r="N4" s="12" t="s">
        <v>15</v>
      </c>
      <c r="O4" s="12" t="s">
        <v>16</v>
      </c>
      <c r="P4" s="12">
        <v>1610.0</v>
      </c>
      <c r="Q4" s="12" t="s">
        <v>17</v>
      </c>
      <c r="R4" s="4"/>
      <c r="S4" s="11" t="s">
        <v>10</v>
      </c>
      <c r="T4" s="12">
        <v>1625.0</v>
      </c>
      <c r="U4" s="12" t="s">
        <v>18</v>
      </c>
      <c r="V4" s="12" t="s">
        <v>19</v>
      </c>
      <c r="W4" s="12">
        <v>1845.0</v>
      </c>
      <c r="X4" s="12" t="s">
        <v>20</v>
      </c>
      <c r="Y4" s="12">
        <v>1350.0</v>
      </c>
      <c r="Z4" s="12">
        <v>1350.0</v>
      </c>
      <c r="AA4" s="12">
        <v>1350.0</v>
      </c>
      <c r="AB4" s="12" t="s">
        <v>21</v>
      </c>
    </row>
    <row r="5" ht="14.25" customHeight="1">
      <c r="A5" s="13" t="s">
        <v>22</v>
      </c>
      <c r="B5" s="15" t="s">
        <v>23</v>
      </c>
      <c r="C5" s="15" t="s">
        <v>24</v>
      </c>
      <c r="D5" s="15" t="s">
        <v>25</v>
      </c>
      <c r="E5" s="14" t="s">
        <v>26</v>
      </c>
      <c r="F5" s="15" t="s">
        <v>27</v>
      </c>
      <c r="G5" s="15" t="s">
        <v>28</v>
      </c>
      <c r="H5" s="15" t="s">
        <v>29</v>
      </c>
      <c r="I5" s="15" t="s">
        <v>30</v>
      </c>
      <c r="J5" s="4"/>
      <c r="K5" s="13" t="s">
        <v>22</v>
      </c>
      <c r="L5" s="15" t="s">
        <v>23</v>
      </c>
      <c r="M5" s="22" t="s">
        <v>24</v>
      </c>
      <c r="N5" s="14" t="s">
        <v>25</v>
      </c>
      <c r="O5" s="17" t="s">
        <v>26</v>
      </c>
      <c r="P5" s="15" t="s">
        <v>27</v>
      </c>
      <c r="Q5" s="18" t="s">
        <v>28</v>
      </c>
      <c r="R5" s="4"/>
      <c r="S5" s="13" t="s">
        <v>22</v>
      </c>
      <c r="T5" s="15" t="s">
        <v>23</v>
      </c>
      <c r="U5" s="15" t="s">
        <v>30</v>
      </c>
      <c r="V5" s="14" t="s">
        <v>24</v>
      </c>
      <c r="W5" s="15" t="s">
        <v>31</v>
      </c>
      <c r="X5" s="15" t="s">
        <v>25</v>
      </c>
      <c r="Y5" s="15" t="s">
        <v>26</v>
      </c>
      <c r="Z5" s="14" t="s">
        <v>27</v>
      </c>
      <c r="AA5" s="14" t="s">
        <v>28</v>
      </c>
      <c r="AB5" s="14" t="s">
        <v>29</v>
      </c>
    </row>
    <row r="6" ht="14.25" customHeight="1">
      <c r="A6" s="13">
        <v>1.0</v>
      </c>
      <c r="B6" s="15">
        <v>101.0</v>
      </c>
      <c r="C6" s="14">
        <v>102.0</v>
      </c>
      <c r="D6" s="15">
        <v>103.0</v>
      </c>
      <c r="E6" s="14">
        <v>104.0</v>
      </c>
      <c r="F6" s="14">
        <v>105.0</v>
      </c>
      <c r="G6" s="14">
        <v>106.0</v>
      </c>
      <c r="H6" s="15">
        <v>107.0</v>
      </c>
      <c r="I6" s="15">
        <v>108.0</v>
      </c>
      <c r="J6" s="4"/>
      <c r="K6" s="13">
        <v>1.0</v>
      </c>
      <c r="L6" s="15">
        <v>101.0</v>
      </c>
      <c r="M6" s="15">
        <v>102.0</v>
      </c>
      <c r="N6" s="19">
        <v>103.0</v>
      </c>
      <c r="O6" s="15">
        <v>104.0</v>
      </c>
      <c r="P6" s="22">
        <v>105.0</v>
      </c>
      <c r="Q6" s="14">
        <v>106.0</v>
      </c>
      <c r="R6" s="4"/>
      <c r="S6" s="13">
        <v>1.0</v>
      </c>
      <c r="T6" s="14">
        <v>101.0</v>
      </c>
      <c r="U6" s="15">
        <v>108.0</v>
      </c>
      <c r="V6" s="15">
        <v>102.0</v>
      </c>
      <c r="W6" s="15">
        <v>109.0</v>
      </c>
      <c r="X6" s="14">
        <v>103.0</v>
      </c>
      <c r="Y6" s="14">
        <v>104.0</v>
      </c>
      <c r="Z6" s="15">
        <v>105.0</v>
      </c>
      <c r="AA6" s="14">
        <v>106.0</v>
      </c>
      <c r="AB6" s="14">
        <v>107.0</v>
      </c>
    </row>
    <row r="7" ht="12.0" customHeight="1">
      <c r="A7" s="4"/>
      <c r="B7" s="20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 ht="12.0" customHeight="1">
      <c r="A8" s="4"/>
      <c r="B8" s="20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ht="15.75" customHeight="1">
      <c r="A9" s="6" t="s">
        <v>0</v>
      </c>
      <c r="B9" s="7"/>
      <c r="C9" s="7"/>
      <c r="D9" s="7"/>
      <c r="E9" s="7"/>
      <c r="F9" s="7"/>
      <c r="G9" s="7"/>
      <c r="H9" s="7"/>
      <c r="I9" s="2"/>
      <c r="J9" s="8"/>
      <c r="K9" s="6" t="s">
        <v>1</v>
      </c>
      <c r="L9" s="7"/>
      <c r="M9" s="7"/>
      <c r="N9" s="7"/>
      <c r="O9" s="7"/>
      <c r="P9" s="7"/>
      <c r="Q9" s="2"/>
      <c r="R9" s="8"/>
      <c r="S9" s="6" t="s">
        <v>2</v>
      </c>
      <c r="T9" s="7"/>
      <c r="U9" s="7"/>
      <c r="V9" s="7"/>
      <c r="W9" s="7"/>
      <c r="X9" s="7"/>
      <c r="Y9" s="7"/>
      <c r="Z9" s="7"/>
      <c r="AA9" s="7"/>
      <c r="AB9" s="2"/>
    </row>
    <row r="10" ht="15.75" customHeight="1">
      <c r="A10" s="9"/>
      <c r="B10" s="10" t="s">
        <v>8</v>
      </c>
      <c r="C10" s="7"/>
      <c r="D10" s="7"/>
      <c r="E10" s="2"/>
      <c r="F10" s="10" t="s">
        <v>4</v>
      </c>
      <c r="G10" s="7"/>
      <c r="H10" s="7"/>
      <c r="I10" s="2"/>
      <c r="J10" s="8"/>
      <c r="K10" s="9"/>
      <c r="L10" s="10" t="s">
        <v>5</v>
      </c>
      <c r="M10" s="7"/>
      <c r="N10" s="2"/>
      <c r="O10" s="10" t="s">
        <v>6</v>
      </c>
      <c r="P10" s="7"/>
      <c r="Q10" s="2"/>
      <c r="R10" s="8"/>
      <c r="S10" s="9"/>
      <c r="T10" s="10" t="s">
        <v>7</v>
      </c>
      <c r="U10" s="2"/>
      <c r="V10" s="10" t="s">
        <v>8</v>
      </c>
      <c r="W10" s="2"/>
      <c r="X10" s="10" t="s">
        <v>9</v>
      </c>
      <c r="Y10" s="7"/>
      <c r="Z10" s="7"/>
      <c r="AA10" s="7"/>
      <c r="AB10" s="2"/>
    </row>
    <row r="11" ht="15.0" customHeight="1">
      <c r="A11" s="11" t="s">
        <v>10</v>
      </c>
      <c r="B11" s="12" t="s">
        <v>11</v>
      </c>
      <c r="C11" s="12">
        <v>2205.0</v>
      </c>
      <c r="D11" s="12">
        <v>2205.0</v>
      </c>
      <c r="E11" s="12" t="s">
        <v>12</v>
      </c>
      <c r="F11" s="12" t="s">
        <v>32</v>
      </c>
      <c r="G11" s="12">
        <v>1700.0</v>
      </c>
      <c r="H11" s="12">
        <v>1700.0</v>
      </c>
      <c r="I11" s="12" t="s">
        <v>32</v>
      </c>
      <c r="J11" s="4"/>
      <c r="K11" s="11" t="s">
        <v>10</v>
      </c>
      <c r="L11" s="12" t="s">
        <v>33</v>
      </c>
      <c r="M11" s="12">
        <v>1375.0</v>
      </c>
      <c r="N11" s="12" t="s">
        <v>34</v>
      </c>
      <c r="O11" s="12" t="s">
        <v>35</v>
      </c>
      <c r="P11" s="12">
        <v>1700.0</v>
      </c>
      <c r="Q11" s="12" t="s">
        <v>36</v>
      </c>
      <c r="R11" s="4"/>
      <c r="S11" s="11" t="s">
        <v>10</v>
      </c>
      <c r="T11" s="12">
        <v>1845.0</v>
      </c>
      <c r="U11" s="12" t="s">
        <v>37</v>
      </c>
      <c r="V11" s="12" t="s">
        <v>37</v>
      </c>
      <c r="W11" s="12">
        <v>1845.0</v>
      </c>
      <c r="X11" s="12" t="s">
        <v>33</v>
      </c>
      <c r="Y11" s="12">
        <v>1375.0</v>
      </c>
      <c r="Z11" s="12">
        <v>1375.0</v>
      </c>
      <c r="AA11" s="12">
        <v>1375.0</v>
      </c>
      <c r="AB11" s="12" t="s">
        <v>34</v>
      </c>
    </row>
    <row r="12" ht="15.0" customHeight="1">
      <c r="A12" s="13">
        <v>2.0</v>
      </c>
      <c r="B12" s="15">
        <v>201.0</v>
      </c>
      <c r="C12" s="15">
        <v>202.0</v>
      </c>
      <c r="D12" s="15">
        <v>203.0</v>
      </c>
      <c r="E12" s="15">
        <v>204.0</v>
      </c>
      <c r="F12" s="14">
        <v>205.0</v>
      </c>
      <c r="G12" s="15">
        <v>206.0</v>
      </c>
      <c r="H12" s="14">
        <v>207.0</v>
      </c>
      <c r="I12" s="14">
        <v>208.0</v>
      </c>
      <c r="J12" s="4"/>
      <c r="K12" s="13">
        <v>2.0</v>
      </c>
      <c r="L12" s="22">
        <v>201.0</v>
      </c>
      <c r="M12" s="14">
        <v>202.0</v>
      </c>
      <c r="N12" s="14">
        <v>203.0</v>
      </c>
      <c r="O12" s="23">
        <v>204.0</v>
      </c>
      <c r="P12" s="18">
        <v>205.0</v>
      </c>
      <c r="Q12" s="18">
        <v>206.0</v>
      </c>
      <c r="R12" s="4"/>
      <c r="S12" s="13">
        <v>2.0</v>
      </c>
      <c r="T12" s="15">
        <v>201.0</v>
      </c>
      <c r="U12" s="49">
        <v>208.0</v>
      </c>
      <c r="V12" s="14">
        <v>202.0</v>
      </c>
      <c r="W12" s="14">
        <v>209.0</v>
      </c>
      <c r="X12" s="14">
        <v>203.0</v>
      </c>
      <c r="Y12" s="14">
        <v>204.0</v>
      </c>
      <c r="Z12" s="15">
        <v>205.0</v>
      </c>
      <c r="AA12" s="15">
        <v>206.0</v>
      </c>
      <c r="AB12" s="15">
        <v>207.0</v>
      </c>
    </row>
    <row r="13" ht="15.0" customHeight="1">
      <c r="A13" s="13">
        <v>3.0</v>
      </c>
      <c r="B13" s="15">
        <v>301.0</v>
      </c>
      <c r="C13" s="15">
        <v>302.0</v>
      </c>
      <c r="D13" s="15">
        <v>303.0</v>
      </c>
      <c r="E13" s="15">
        <v>304.0</v>
      </c>
      <c r="F13" s="15">
        <v>305.0</v>
      </c>
      <c r="G13" s="15">
        <v>306.0</v>
      </c>
      <c r="H13" s="15">
        <v>307.0</v>
      </c>
      <c r="I13" s="11">
        <v>308.0</v>
      </c>
      <c r="J13" s="4"/>
      <c r="K13" s="13">
        <v>3.0</v>
      </c>
      <c r="L13" s="22">
        <v>301.0</v>
      </c>
      <c r="M13" s="14">
        <v>302.0</v>
      </c>
      <c r="N13" s="14">
        <v>303.0</v>
      </c>
      <c r="O13" s="14">
        <v>304.0</v>
      </c>
      <c r="P13" s="14">
        <v>305.0</v>
      </c>
      <c r="Q13" s="14">
        <v>306.0</v>
      </c>
      <c r="R13" s="4"/>
      <c r="S13" s="13">
        <v>3.0</v>
      </c>
      <c r="T13" s="15">
        <v>301.0</v>
      </c>
      <c r="U13" s="15">
        <v>308.0</v>
      </c>
      <c r="V13" s="15">
        <v>302.0</v>
      </c>
      <c r="W13" s="11">
        <v>309.0</v>
      </c>
      <c r="X13" s="15">
        <v>303.0</v>
      </c>
      <c r="Y13" s="15">
        <v>304.0</v>
      </c>
      <c r="Z13" s="15">
        <v>305.0</v>
      </c>
      <c r="AA13" s="15">
        <v>306.0</v>
      </c>
      <c r="AB13" s="15">
        <v>307.0</v>
      </c>
    </row>
    <row r="14" ht="15.0" customHeight="1">
      <c r="A14" s="13">
        <v>4.0</v>
      </c>
      <c r="B14" s="15">
        <v>401.0</v>
      </c>
      <c r="C14" s="15">
        <v>402.0</v>
      </c>
      <c r="D14" s="15">
        <v>403.0</v>
      </c>
      <c r="E14" s="15">
        <v>404.0</v>
      </c>
      <c r="F14" s="15">
        <v>405.0</v>
      </c>
      <c r="G14" s="15">
        <v>406.0</v>
      </c>
      <c r="H14" s="15">
        <v>407.0</v>
      </c>
      <c r="I14" s="15">
        <v>408.0</v>
      </c>
      <c r="J14" s="4"/>
      <c r="K14" s="13">
        <v>4.0</v>
      </c>
      <c r="L14" s="15">
        <v>401.0</v>
      </c>
      <c r="M14" s="19">
        <v>402.0</v>
      </c>
      <c r="N14" s="19">
        <v>403.0</v>
      </c>
      <c r="O14" s="19">
        <v>404.0</v>
      </c>
      <c r="P14" s="19">
        <v>405.0</v>
      </c>
      <c r="Q14" s="19">
        <v>406.0</v>
      </c>
      <c r="R14" s="4"/>
      <c r="S14" s="13">
        <v>4.0</v>
      </c>
      <c r="T14" s="15">
        <v>401.0</v>
      </c>
      <c r="U14" s="15">
        <v>408.0</v>
      </c>
      <c r="V14" s="15">
        <v>402.0</v>
      </c>
      <c r="W14" s="15">
        <v>409.0</v>
      </c>
      <c r="X14" s="15">
        <v>403.0</v>
      </c>
      <c r="Y14" s="15">
        <v>404.0</v>
      </c>
      <c r="Z14" s="15">
        <v>405.0</v>
      </c>
      <c r="AA14" s="15">
        <v>406.0</v>
      </c>
      <c r="AB14" s="11">
        <v>407.0</v>
      </c>
    </row>
    <row r="15" ht="15.0" customHeight="1">
      <c r="A15" s="13">
        <v>5.0</v>
      </c>
      <c r="B15" s="15">
        <v>501.0</v>
      </c>
      <c r="C15" s="15">
        <v>502.0</v>
      </c>
      <c r="D15" s="15">
        <v>503.0</v>
      </c>
      <c r="E15" s="15">
        <v>504.0</v>
      </c>
      <c r="F15" s="15">
        <v>505.0</v>
      </c>
      <c r="G15" s="15">
        <v>506.0</v>
      </c>
      <c r="H15" s="15">
        <v>507.0</v>
      </c>
      <c r="I15" s="15">
        <v>508.0</v>
      </c>
      <c r="J15" s="4"/>
      <c r="K15" s="13">
        <v>5.0</v>
      </c>
      <c r="L15" s="15">
        <v>501.0</v>
      </c>
      <c r="M15" s="15">
        <v>502.0</v>
      </c>
      <c r="N15" s="19">
        <v>503.0</v>
      </c>
      <c r="O15" s="15">
        <v>504.0</v>
      </c>
      <c r="P15" s="15">
        <v>505.0</v>
      </c>
      <c r="Q15" s="15">
        <v>506.0</v>
      </c>
      <c r="R15" s="4"/>
      <c r="S15" s="13">
        <v>5.0</v>
      </c>
      <c r="T15" s="15">
        <v>501.0</v>
      </c>
      <c r="U15" s="15">
        <v>508.0</v>
      </c>
      <c r="V15" s="15">
        <v>502.0</v>
      </c>
      <c r="W15" s="11">
        <v>509.0</v>
      </c>
      <c r="X15" s="15">
        <v>503.0</v>
      </c>
      <c r="Y15" s="15">
        <v>504.0</v>
      </c>
      <c r="Z15" s="15">
        <v>505.0</v>
      </c>
      <c r="AA15" s="15">
        <v>506.0</v>
      </c>
      <c r="AB15" s="15">
        <v>507.0</v>
      </c>
    </row>
    <row r="16" ht="15.0" customHeight="1">
      <c r="A16" s="13">
        <v>6.0</v>
      </c>
      <c r="B16" s="15">
        <v>601.0</v>
      </c>
      <c r="C16" s="15">
        <v>602.0</v>
      </c>
      <c r="D16" s="15">
        <v>603.0</v>
      </c>
      <c r="E16" s="15">
        <v>604.0</v>
      </c>
      <c r="F16" s="15">
        <v>605.0</v>
      </c>
      <c r="G16" s="15">
        <v>606.0</v>
      </c>
      <c r="H16" s="15">
        <v>607.0</v>
      </c>
      <c r="I16" s="15">
        <v>608.0</v>
      </c>
      <c r="J16" s="4"/>
      <c r="K16" s="13">
        <v>6.0</v>
      </c>
      <c r="L16" s="15">
        <v>601.0</v>
      </c>
      <c r="M16" s="15">
        <v>602.0</v>
      </c>
      <c r="N16" s="15">
        <v>603.0</v>
      </c>
      <c r="O16" s="15">
        <v>604.0</v>
      </c>
      <c r="P16" s="15">
        <v>605.0</v>
      </c>
      <c r="Q16" s="15">
        <v>606.0</v>
      </c>
      <c r="R16" s="4"/>
      <c r="S16" s="13">
        <v>6.0</v>
      </c>
      <c r="T16" s="15">
        <v>601.0</v>
      </c>
      <c r="U16" s="15">
        <v>608.0</v>
      </c>
      <c r="V16" s="15">
        <v>602.0</v>
      </c>
      <c r="W16" s="15">
        <v>609.0</v>
      </c>
      <c r="X16" s="15">
        <v>603.0</v>
      </c>
      <c r="Y16" s="15">
        <v>604.0</v>
      </c>
      <c r="Z16" s="15">
        <v>605.0</v>
      </c>
      <c r="AA16" s="15">
        <v>606.0</v>
      </c>
      <c r="AB16" s="15">
        <v>607.0</v>
      </c>
    </row>
    <row r="17" ht="15.0" customHeight="1">
      <c r="A17" s="13">
        <v>7.0</v>
      </c>
      <c r="B17" s="15">
        <v>701.0</v>
      </c>
      <c r="C17" s="15">
        <v>702.0</v>
      </c>
      <c r="D17" s="15">
        <v>703.0</v>
      </c>
      <c r="E17" s="15">
        <v>704.0</v>
      </c>
      <c r="F17" s="11">
        <v>705.0</v>
      </c>
      <c r="G17" s="15">
        <v>706.0</v>
      </c>
      <c r="H17" s="15">
        <v>707.0</v>
      </c>
      <c r="I17" s="15">
        <v>708.0</v>
      </c>
      <c r="J17" s="4"/>
      <c r="K17" s="13">
        <v>7.0</v>
      </c>
      <c r="L17" s="15">
        <v>701.0</v>
      </c>
      <c r="M17" s="15">
        <v>702.0</v>
      </c>
      <c r="N17" s="15">
        <v>703.0</v>
      </c>
      <c r="O17" s="15">
        <v>704.0</v>
      </c>
      <c r="P17" s="15">
        <v>705.0</v>
      </c>
      <c r="Q17" s="49">
        <v>706.0</v>
      </c>
      <c r="R17" s="4"/>
      <c r="S17" s="13">
        <v>7.0</v>
      </c>
      <c r="T17" s="11">
        <v>701.0</v>
      </c>
      <c r="U17" s="15">
        <v>708.0</v>
      </c>
      <c r="V17" s="15">
        <v>702.0</v>
      </c>
      <c r="W17" s="15">
        <v>709.0</v>
      </c>
      <c r="X17" s="15">
        <v>703.0</v>
      </c>
      <c r="Y17" s="15">
        <v>704.0</v>
      </c>
      <c r="Z17" s="15">
        <v>705.0</v>
      </c>
      <c r="AA17" s="15">
        <v>706.0</v>
      </c>
      <c r="AB17" s="15">
        <v>707.0</v>
      </c>
    </row>
    <row r="18" ht="15.0" customHeight="1">
      <c r="A18" s="13">
        <v>8.0</v>
      </c>
      <c r="B18" s="15">
        <v>801.0</v>
      </c>
      <c r="C18" s="15">
        <v>802.0</v>
      </c>
      <c r="D18" s="15">
        <v>803.0</v>
      </c>
      <c r="E18" s="15">
        <v>804.0</v>
      </c>
      <c r="F18" s="11">
        <v>805.0</v>
      </c>
      <c r="G18" s="11">
        <v>806.0</v>
      </c>
      <c r="H18" s="11">
        <v>807.0</v>
      </c>
      <c r="I18" s="15">
        <v>808.0</v>
      </c>
      <c r="J18" s="4"/>
      <c r="K18" s="13">
        <v>8.0</v>
      </c>
      <c r="L18" s="15">
        <v>801.0</v>
      </c>
      <c r="M18" s="15">
        <v>802.0</v>
      </c>
      <c r="N18" s="15">
        <v>803.0</v>
      </c>
      <c r="O18" s="50">
        <v>804.0</v>
      </c>
      <c r="P18" s="15">
        <v>805.0</v>
      </c>
      <c r="Q18" s="15">
        <v>806.0</v>
      </c>
      <c r="R18" s="4"/>
      <c r="S18" s="13">
        <v>8.0</v>
      </c>
      <c r="T18" s="15">
        <v>801.0</v>
      </c>
      <c r="U18" s="15">
        <v>808.0</v>
      </c>
      <c r="V18" s="15">
        <v>802.0</v>
      </c>
      <c r="W18" s="15">
        <v>809.0</v>
      </c>
      <c r="X18" s="15">
        <v>803.0</v>
      </c>
      <c r="Y18" s="15">
        <v>804.0</v>
      </c>
      <c r="Z18" s="11">
        <v>805.0</v>
      </c>
      <c r="AA18" s="15">
        <v>806.0</v>
      </c>
      <c r="AB18" s="15">
        <v>807.0</v>
      </c>
    </row>
    <row r="19" ht="15.0" customHeight="1">
      <c r="A19" s="13">
        <v>9.0</v>
      </c>
      <c r="B19" s="15">
        <v>901.0</v>
      </c>
      <c r="C19" s="49">
        <v>902.0</v>
      </c>
      <c r="D19" s="15">
        <v>903.0</v>
      </c>
      <c r="E19" s="15">
        <v>904.0</v>
      </c>
      <c r="F19" s="15">
        <v>905.0</v>
      </c>
      <c r="G19" s="15">
        <v>906.0</v>
      </c>
      <c r="H19" s="11">
        <v>907.0</v>
      </c>
      <c r="I19" s="15">
        <v>908.0</v>
      </c>
      <c r="J19" s="4"/>
      <c r="K19" s="13">
        <v>9.0</v>
      </c>
      <c r="L19" s="15">
        <v>901.0</v>
      </c>
      <c r="M19" s="15">
        <v>902.0</v>
      </c>
      <c r="N19" s="15">
        <v>903.0</v>
      </c>
      <c r="O19" s="15">
        <v>904.0</v>
      </c>
      <c r="P19" s="15">
        <v>905.0</v>
      </c>
      <c r="Q19" s="33">
        <v>906.0</v>
      </c>
      <c r="R19" s="4"/>
      <c r="S19" s="13">
        <v>9.0</v>
      </c>
      <c r="T19" s="15">
        <v>901.0</v>
      </c>
      <c r="U19" s="15">
        <v>908.0</v>
      </c>
      <c r="V19" s="15">
        <v>902.0</v>
      </c>
      <c r="W19" s="15">
        <v>909.0</v>
      </c>
      <c r="X19" s="15">
        <v>903.0</v>
      </c>
      <c r="Y19" s="15">
        <v>904.0</v>
      </c>
      <c r="Z19" s="15">
        <v>905.0</v>
      </c>
      <c r="AA19" s="15">
        <v>906.0</v>
      </c>
      <c r="AB19" s="15">
        <v>907.0</v>
      </c>
    </row>
    <row r="20" ht="15.0" customHeight="1">
      <c r="A20" s="13">
        <v>10.0</v>
      </c>
      <c r="B20" s="15">
        <v>1001.0</v>
      </c>
      <c r="C20" s="15">
        <v>1002.0</v>
      </c>
      <c r="D20" s="15">
        <v>1003.0</v>
      </c>
      <c r="E20" s="15">
        <v>1004.0</v>
      </c>
      <c r="F20" s="15">
        <v>1005.0</v>
      </c>
      <c r="G20" s="11">
        <v>1006.0</v>
      </c>
      <c r="H20" s="15">
        <v>1007.0</v>
      </c>
      <c r="I20" s="15">
        <v>1008.0</v>
      </c>
      <c r="J20" s="4"/>
      <c r="K20" s="13">
        <v>10.0</v>
      </c>
      <c r="L20" s="15">
        <v>1001.0</v>
      </c>
      <c r="M20" s="15">
        <v>1002.0</v>
      </c>
      <c r="N20" s="15">
        <v>1003.0</v>
      </c>
      <c r="O20" s="15">
        <v>1004.0</v>
      </c>
      <c r="P20" s="15">
        <v>1005.0</v>
      </c>
      <c r="Q20" s="15">
        <v>1006.0</v>
      </c>
      <c r="R20" s="4"/>
      <c r="S20" s="13">
        <v>10.0</v>
      </c>
      <c r="T20" s="15">
        <v>1001.0</v>
      </c>
      <c r="U20" s="15">
        <v>1008.0</v>
      </c>
      <c r="V20" s="15">
        <v>1002.0</v>
      </c>
      <c r="W20" s="15">
        <v>1009.0</v>
      </c>
      <c r="X20" s="15">
        <v>1003.0</v>
      </c>
      <c r="Y20" s="15">
        <v>1004.0</v>
      </c>
      <c r="Z20" s="15">
        <v>1005.0</v>
      </c>
      <c r="AA20" s="15">
        <v>1006.0</v>
      </c>
      <c r="AB20" s="15">
        <v>1007.0</v>
      </c>
    </row>
    <row r="21" ht="15.0" customHeight="1">
      <c r="A21" s="13">
        <v>11.0</v>
      </c>
      <c r="B21" s="15">
        <v>1101.0</v>
      </c>
      <c r="C21" s="15">
        <v>1102.0</v>
      </c>
      <c r="D21" s="15">
        <v>1103.0</v>
      </c>
      <c r="E21" s="15">
        <v>1104.0</v>
      </c>
      <c r="F21" s="11">
        <v>1105.0</v>
      </c>
      <c r="G21" s="11">
        <v>1106.0</v>
      </c>
      <c r="H21" s="11">
        <v>1107.0</v>
      </c>
      <c r="I21" s="15">
        <v>1108.0</v>
      </c>
      <c r="J21" s="4"/>
      <c r="K21" s="13">
        <v>11.0</v>
      </c>
      <c r="L21" s="15">
        <v>1101.0</v>
      </c>
      <c r="M21" s="15">
        <v>1102.0</v>
      </c>
      <c r="N21" s="15">
        <v>1103.0</v>
      </c>
      <c r="O21" s="50">
        <v>1104.0</v>
      </c>
      <c r="P21" s="15">
        <v>1105.0</v>
      </c>
      <c r="Q21" s="15">
        <v>1106.0</v>
      </c>
      <c r="R21" s="4"/>
      <c r="S21" s="13">
        <v>11.0</v>
      </c>
      <c r="T21" s="15">
        <v>1101.0</v>
      </c>
      <c r="U21" s="15">
        <v>1108.0</v>
      </c>
      <c r="V21" s="15">
        <v>1102.0</v>
      </c>
      <c r="W21" s="11">
        <v>1109.0</v>
      </c>
      <c r="X21" s="15">
        <v>1103.0</v>
      </c>
      <c r="Y21" s="15">
        <v>1104.0</v>
      </c>
      <c r="Z21" s="15">
        <v>1105.0</v>
      </c>
      <c r="AA21" s="15">
        <v>1106.0</v>
      </c>
      <c r="AB21" s="15">
        <v>1107.0</v>
      </c>
    </row>
    <row r="22" ht="15.0" customHeight="1">
      <c r="A22" s="13">
        <v>12.0</v>
      </c>
      <c r="B22" s="15">
        <v>1201.0</v>
      </c>
      <c r="C22" s="15">
        <v>1202.0</v>
      </c>
      <c r="D22" s="15">
        <v>1203.0</v>
      </c>
      <c r="E22" s="15">
        <v>1204.0</v>
      </c>
      <c r="F22" s="15">
        <v>1205.0</v>
      </c>
      <c r="G22" s="11">
        <v>1206.0</v>
      </c>
      <c r="H22" s="11">
        <v>1207.0</v>
      </c>
      <c r="I22" s="15">
        <v>1208.0</v>
      </c>
      <c r="J22" s="4"/>
      <c r="K22" s="13">
        <v>12.0</v>
      </c>
      <c r="L22" s="18">
        <v>1201.0</v>
      </c>
      <c r="M22" s="18">
        <v>1202.0</v>
      </c>
      <c r="N22" s="15">
        <v>1203.0</v>
      </c>
      <c r="O22" s="12">
        <v>1204.0</v>
      </c>
      <c r="P22" s="28">
        <v>1205.0</v>
      </c>
      <c r="Q22" s="15">
        <v>1206.0</v>
      </c>
      <c r="R22" s="4"/>
      <c r="S22" s="13">
        <v>12.0</v>
      </c>
      <c r="T22" s="15">
        <v>1201.0</v>
      </c>
      <c r="U22" s="15">
        <v>1208.0</v>
      </c>
      <c r="V22" s="15">
        <v>1202.0</v>
      </c>
      <c r="W22" s="15">
        <v>1209.0</v>
      </c>
      <c r="X22" s="15">
        <v>1203.0</v>
      </c>
      <c r="Y22" s="15">
        <v>1204.0</v>
      </c>
      <c r="Z22" s="15">
        <v>1205.0</v>
      </c>
      <c r="AA22" s="15">
        <v>1206.0</v>
      </c>
      <c r="AB22" s="15">
        <v>1207.0</v>
      </c>
    </row>
    <row r="23" ht="15.0" customHeight="1">
      <c r="A23" s="13">
        <v>13.0</v>
      </c>
      <c r="B23" s="14">
        <v>1301.0</v>
      </c>
      <c r="C23" s="15">
        <v>1302.0</v>
      </c>
      <c r="D23" s="15">
        <v>1303.0</v>
      </c>
      <c r="E23" s="14">
        <v>1304.0</v>
      </c>
      <c r="F23" s="14">
        <v>1305.0</v>
      </c>
      <c r="G23" s="14">
        <v>1306.0</v>
      </c>
      <c r="H23" s="14">
        <v>1307.0</v>
      </c>
      <c r="I23" s="14">
        <v>1308.0</v>
      </c>
      <c r="J23" s="4"/>
      <c r="K23" s="13">
        <v>13.0</v>
      </c>
      <c r="L23" s="14">
        <v>1301.0</v>
      </c>
      <c r="M23" s="14">
        <v>1302.0</v>
      </c>
      <c r="N23" s="14">
        <v>1303.0</v>
      </c>
      <c r="O23" s="14">
        <v>1304.0</v>
      </c>
      <c r="P23" s="29">
        <v>1305.0</v>
      </c>
      <c r="Q23" s="14">
        <v>1306.0</v>
      </c>
      <c r="R23" s="4"/>
      <c r="S23" s="13">
        <v>13.0</v>
      </c>
      <c r="T23" s="14">
        <v>1301.0</v>
      </c>
      <c r="U23" s="14">
        <v>1308.0</v>
      </c>
      <c r="V23" s="14">
        <v>1302.0</v>
      </c>
      <c r="W23" s="14">
        <v>1309.0</v>
      </c>
      <c r="X23" s="15">
        <v>1303.0</v>
      </c>
      <c r="Y23" s="14">
        <v>1304.0</v>
      </c>
      <c r="Z23" s="14">
        <v>1305.0</v>
      </c>
      <c r="AA23" s="15">
        <v>1306.0</v>
      </c>
      <c r="AB23" s="15">
        <v>1307.0</v>
      </c>
    </row>
    <row r="24" ht="15.0" customHeight="1">
      <c r="A24" s="13">
        <v>14.0</v>
      </c>
      <c r="B24" s="15">
        <v>1401.0</v>
      </c>
      <c r="C24" s="15">
        <v>1402.0</v>
      </c>
      <c r="D24" s="15">
        <v>1403.0</v>
      </c>
      <c r="E24" s="15">
        <v>1404.0</v>
      </c>
      <c r="F24" s="15">
        <v>1405.0</v>
      </c>
      <c r="G24" s="15">
        <v>1406.0</v>
      </c>
      <c r="H24" s="15">
        <v>1407.0</v>
      </c>
      <c r="I24" s="15">
        <v>1408.0</v>
      </c>
      <c r="J24" s="4"/>
      <c r="K24" s="13">
        <v>14.0</v>
      </c>
      <c r="L24" s="19">
        <v>1401.0</v>
      </c>
      <c r="M24" s="19">
        <v>1402.0</v>
      </c>
      <c r="N24" s="19">
        <v>1403.0</v>
      </c>
      <c r="O24" s="19">
        <v>1404.0</v>
      </c>
      <c r="P24" s="15">
        <v>1405.0</v>
      </c>
      <c r="Q24" s="19">
        <v>1406.0</v>
      </c>
      <c r="R24" s="4"/>
      <c r="S24" s="13">
        <v>14.0</v>
      </c>
      <c r="T24" s="15">
        <v>1401.0</v>
      </c>
      <c r="U24" s="15">
        <v>1408.0</v>
      </c>
      <c r="V24" s="15">
        <v>1402.0</v>
      </c>
      <c r="W24" s="15">
        <v>1409.0</v>
      </c>
      <c r="X24" s="15">
        <v>1403.0</v>
      </c>
      <c r="Y24" s="15">
        <v>1404.0</v>
      </c>
      <c r="Z24" s="15">
        <v>1405.0</v>
      </c>
      <c r="AA24" s="15">
        <v>1406.0</v>
      </c>
      <c r="AB24" s="15">
        <v>1407.0</v>
      </c>
    </row>
    <row r="25" ht="15.0" customHeight="1">
      <c r="A25" s="13">
        <v>15.0</v>
      </c>
      <c r="B25" s="15">
        <v>1501.0</v>
      </c>
      <c r="C25" s="15">
        <v>1502.0</v>
      </c>
      <c r="D25" s="15">
        <v>1503.0</v>
      </c>
      <c r="E25" s="15">
        <v>1504.0</v>
      </c>
      <c r="F25" s="15">
        <v>1505.0</v>
      </c>
      <c r="G25" s="11">
        <v>1506.0</v>
      </c>
      <c r="H25" s="11">
        <v>1507.0</v>
      </c>
      <c r="I25" s="15">
        <v>1508.0</v>
      </c>
      <c r="J25" s="4"/>
      <c r="K25" s="13">
        <v>15.0</v>
      </c>
      <c r="L25" s="15">
        <v>1501.0</v>
      </c>
      <c r="M25" s="51">
        <v>1502.0</v>
      </c>
      <c r="N25" s="15">
        <v>1503.0</v>
      </c>
      <c r="O25" s="32">
        <v>1504.0</v>
      </c>
      <c r="P25" s="32">
        <v>1505.0</v>
      </c>
      <c r="Q25" s="32">
        <v>1506.0</v>
      </c>
      <c r="R25" s="4"/>
      <c r="S25" s="13">
        <v>15.0</v>
      </c>
      <c r="T25" s="15">
        <v>1501.0</v>
      </c>
      <c r="U25" s="15">
        <v>1508.0</v>
      </c>
      <c r="V25" s="15">
        <v>1502.0</v>
      </c>
      <c r="W25" s="11">
        <v>1509.0</v>
      </c>
      <c r="X25" s="15">
        <v>1503.0</v>
      </c>
      <c r="Y25" s="11">
        <v>1504.0</v>
      </c>
      <c r="Z25" s="11">
        <v>1505.0</v>
      </c>
      <c r="AA25" s="11">
        <v>1506.0</v>
      </c>
      <c r="AB25" s="26">
        <v>1507.0</v>
      </c>
    </row>
    <row r="26" ht="15.0" customHeight="1">
      <c r="A26" s="13">
        <v>16.0</v>
      </c>
      <c r="B26" s="15">
        <v>1601.0</v>
      </c>
      <c r="C26" s="15">
        <v>1602.0</v>
      </c>
      <c r="D26" s="15">
        <v>1603.0</v>
      </c>
      <c r="E26" s="15">
        <v>1604.0</v>
      </c>
      <c r="F26" s="11">
        <v>1605.0</v>
      </c>
      <c r="G26" s="11">
        <v>1606.0</v>
      </c>
      <c r="H26" s="11">
        <v>1607.0</v>
      </c>
      <c r="I26" s="15">
        <v>1608.0</v>
      </c>
      <c r="J26" s="4"/>
      <c r="K26" s="13">
        <v>16.0</v>
      </c>
      <c r="L26" s="15">
        <v>1601.0</v>
      </c>
      <c r="M26" s="52">
        <v>1602.0</v>
      </c>
      <c r="N26" s="15">
        <v>1603.0</v>
      </c>
      <c r="O26" s="12">
        <v>1604.0</v>
      </c>
      <c r="P26" s="11">
        <v>1605.0</v>
      </c>
      <c r="Q26" s="11">
        <v>1606.0</v>
      </c>
      <c r="R26" s="4"/>
      <c r="S26" s="13">
        <v>16.0</v>
      </c>
      <c r="T26" s="15">
        <v>1601.0</v>
      </c>
      <c r="U26" s="15">
        <v>1608.0</v>
      </c>
      <c r="V26" s="15">
        <v>1602.0</v>
      </c>
      <c r="W26" s="11">
        <v>1609.0</v>
      </c>
      <c r="X26" s="15">
        <v>1603.0</v>
      </c>
      <c r="Y26" s="15">
        <v>1604.0</v>
      </c>
      <c r="Z26" s="11">
        <v>1605.0</v>
      </c>
      <c r="AA26" s="11">
        <v>1606.0</v>
      </c>
      <c r="AB26" s="11">
        <v>1607.0</v>
      </c>
    </row>
    <row r="27" ht="15.0" customHeight="1">
      <c r="A27" s="13">
        <v>17.0</v>
      </c>
      <c r="B27" s="15">
        <v>1701.0</v>
      </c>
      <c r="C27" s="15">
        <v>1702.0</v>
      </c>
      <c r="D27" s="11">
        <v>1703.0</v>
      </c>
      <c r="E27" s="15">
        <v>1704.0</v>
      </c>
      <c r="F27" s="15">
        <v>1705.0</v>
      </c>
      <c r="G27" s="11">
        <v>1706.0</v>
      </c>
      <c r="H27" s="11">
        <v>1707.0</v>
      </c>
      <c r="I27" s="15">
        <v>1708.0</v>
      </c>
      <c r="J27" s="4"/>
      <c r="K27" s="13">
        <v>17.0</v>
      </c>
      <c r="L27" s="15">
        <v>1701.0</v>
      </c>
      <c r="M27" s="33">
        <v>1702.0</v>
      </c>
      <c r="N27" s="15">
        <v>1703.0</v>
      </c>
      <c r="O27" s="15">
        <v>1704.0</v>
      </c>
      <c r="P27" s="33">
        <v>1705.0</v>
      </c>
      <c r="Q27" s="12">
        <v>1706.0</v>
      </c>
      <c r="R27" s="4"/>
      <c r="S27" s="13">
        <v>17.0</v>
      </c>
      <c r="T27" s="11">
        <v>1701.0</v>
      </c>
      <c r="U27" s="15">
        <v>1708.0</v>
      </c>
      <c r="V27" s="15">
        <v>1702.0</v>
      </c>
      <c r="W27" s="11">
        <v>1709.0</v>
      </c>
      <c r="X27" s="15">
        <v>1703.0</v>
      </c>
      <c r="Y27" s="11">
        <v>1704.0</v>
      </c>
      <c r="Z27" s="11">
        <v>1705.0</v>
      </c>
      <c r="AA27" s="11">
        <v>1706.0</v>
      </c>
      <c r="AB27" s="11">
        <v>1707.0</v>
      </c>
    </row>
    <row r="28" ht="15.0" customHeight="1">
      <c r="A28" s="13">
        <v>18.0</v>
      </c>
      <c r="B28" s="15">
        <v>1801.0</v>
      </c>
      <c r="C28" s="15">
        <v>1802.0</v>
      </c>
      <c r="D28" s="11">
        <v>1803.0</v>
      </c>
      <c r="E28" s="15">
        <v>1804.0</v>
      </c>
      <c r="F28" s="15">
        <v>1805.0</v>
      </c>
      <c r="G28" s="15">
        <v>1806.0</v>
      </c>
      <c r="H28" s="11">
        <v>1807.0</v>
      </c>
      <c r="I28" s="15">
        <v>1808.0</v>
      </c>
      <c r="J28" s="4"/>
      <c r="K28" s="13">
        <v>18.0</v>
      </c>
      <c r="L28" s="18">
        <v>1801.0</v>
      </c>
      <c r="M28" s="18">
        <v>1802.0</v>
      </c>
      <c r="N28" s="18">
        <v>1803.0</v>
      </c>
      <c r="O28" s="53">
        <v>1804.0</v>
      </c>
      <c r="P28" s="18">
        <v>1805.0</v>
      </c>
      <c r="Q28" s="18">
        <v>1806.0</v>
      </c>
      <c r="R28" s="4"/>
      <c r="S28" s="13">
        <v>18.0</v>
      </c>
      <c r="T28" s="15">
        <v>1801.0</v>
      </c>
      <c r="U28" s="15">
        <v>1808.0</v>
      </c>
      <c r="V28" s="15">
        <v>1802.0</v>
      </c>
      <c r="W28" s="15">
        <v>1809.0</v>
      </c>
      <c r="X28" s="15">
        <v>1803.0</v>
      </c>
      <c r="Y28" s="15">
        <v>1804.0</v>
      </c>
      <c r="Z28" s="15">
        <v>1805.0</v>
      </c>
      <c r="AA28" s="15">
        <v>1806.0</v>
      </c>
      <c r="AB28" s="11">
        <v>1807.0</v>
      </c>
    </row>
    <row r="29" ht="15.0" customHeight="1">
      <c r="A29" s="13">
        <v>19.0</v>
      </c>
      <c r="B29" s="15">
        <v>1901.0</v>
      </c>
      <c r="C29" s="14">
        <v>1902.0</v>
      </c>
      <c r="D29" s="14">
        <v>1903.0</v>
      </c>
      <c r="E29" s="14">
        <v>1904.0</v>
      </c>
      <c r="F29" s="14">
        <v>1905.0</v>
      </c>
      <c r="G29" s="14">
        <v>1906.0</v>
      </c>
      <c r="H29" s="14">
        <v>1907.0</v>
      </c>
      <c r="I29" s="14">
        <v>1908.0</v>
      </c>
      <c r="J29" s="4"/>
      <c r="K29" s="13">
        <v>19.0</v>
      </c>
      <c r="L29" s="18">
        <v>1901.0</v>
      </c>
      <c r="M29" s="14">
        <v>1902.0</v>
      </c>
      <c r="N29" s="14">
        <v>1903.0</v>
      </c>
      <c r="O29" s="14">
        <v>1904.0</v>
      </c>
      <c r="P29" s="14">
        <v>1905.0</v>
      </c>
      <c r="Q29" s="14">
        <v>1906.0</v>
      </c>
      <c r="R29" s="4"/>
      <c r="S29" s="13">
        <v>19.0</v>
      </c>
      <c r="T29" s="14">
        <v>1901.0</v>
      </c>
      <c r="U29" s="14">
        <v>1908.0</v>
      </c>
      <c r="V29" s="14">
        <v>1902.0</v>
      </c>
      <c r="W29" s="14">
        <v>1909.0</v>
      </c>
      <c r="X29" s="14">
        <v>1903.0</v>
      </c>
      <c r="Y29" s="14">
        <v>1904.0</v>
      </c>
      <c r="Z29" s="14">
        <v>1905.0</v>
      </c>
      <c r="AA29" s="14">
        <v>1906.0</v>
      </c>
      <c r="AB29" s="14">
        <v>1907.0</v>
      </c>
    </row>
    <row r="30" ht="15.0" customHeight="1">
      <c r="A30" s="13">
        <v>20.0</v>
      </c>
      <c r="B30" s="15">
        <v>2001.0</v>
      </c>
      <c r="C30" s="14">
        <v>2002.0</v>
      </c>
      <c r="D30" s="14">
        <v>2003.0</v>
      </c>
      <c r="E30" s="14">
        <v>2004.0</v>
      </c>
      <c r="F30" s="14">
        <v>2005.0</v>
      </c>
      <c r="G30" s="14">
        <v>2006.0</v>
      </c>
      <c r="H30" s="14">
        <v>2007.0</v>
      </c>
      <c r="I30" s="14">
        <v>2008.0</v>
      </c>
      <c r="J30" s="4"/>
      <c r="K30" s="13">
        <v>20.0</v>
      </c>
      <c r="L30" s="14">
        <v>2001.0</v>
      </c>
      <c r="M30" s="14">
        <v>2002.0</v>
      </c>
      <c r="N30" s="14">
        <v>2003.0</v>
      </c>
      <c r="O30" s="14">
        <v>2004.0</v>
      </c>
      <c r="P30" s="14">
        <v>2005.0</v>
      </c>
      <c r="Q30" s="14">
        <v>2006.0</v>
      </c>
      <c r="R30" s="4"/>
      <c r="S30" s="13">
        <v>20.0</v>
      </c>
      <c r="T30" s="14">
        <v>2001.0</v>
      </c>
      <c r="U30" s="14">
        <v>2008.0</v>
      </c>
      <c r="V30" s="14">
        <v>2002.0</v>
      </c>
      <c r="W30" s="14">
        <v>2009.0</v>
      </c>
      <c r="X30" s="14">
        <v>2003.0</v>
      </c>
      <c r="Y30" s="14">
        <v>2004.0</v>
      </c>
      <c r="Z30" s="14">
        <v>2005.0</v>
      </c>
      <c r="AA30" s="14">
        <v>2006.0</v>
      </c>
      <c r="AB30" s="14">
        <v>2007.0</v>
      </c>
    </row>
    <row r="31" ht="15.0" customHeight="1">
      <c r="A31" s="13">
        <v>21.0</v>
      </c>
      <c r="B31" s="15">
        <v>2101.0</v>
      </c>
      <c r="C31" s="15">
        <v>2102.0</v>
      </c>
      <c r="D31" s="11">
        <v>2103.0</v>
      </c>
      <c r="E31" s="15">
        <v>2104.0</v>
      </c>
      <c r="F31" s="11">
        <v>2105.0</v>
      </c>
      <c r="G31" s="11">
        <v>2106.0</v>
      </c>
      <c r="H31" s="11">
        <v>2107.0</v>
      </c>
      <c r="I31" s="11">
        <v>2108.0</v>
      </c>
      <c r="J31" s="4"/>
      <c r="K31" s="13">
        <v>21.0</v>
      </c>
      <c r="L31" s="19">
        <v>2101.0</v>
      </c>
      <c r="M31" s="34">
        <v>2102.0</v>
      </c>
      <c r="N31" s="19">
        <v>2103.0</v>
      </c>
      <c r="O31" s="32">
        <v>2104.0</v>
      </c>
      <c r="P31" s="32">
        <v>2105.0</v>
      </c>
      <c r="Q31" s="32">
        <v>2106.0</v>
      </c>
      <c r="R31" s="4"/>
      <c r="S31" s="13">
        <v>21.0</v>
      </c>
      <c r="T31" s="11">
        <v>2101.0</v>
      </c>
      <c r="U31" s="15">
        <v>2108.0</v>
      </c>
      <c r="V31" s="15">
        <v>2102.0</v>
      </c>
      <c r="W31" s="11">
        <v>2109.0</v>
      </c>
      <c r="X31" s="11">
        <v>2103.0</v>
      </c>
      <c r="Y31" s="11">
        <v>2104.0</v>
      </c>
      <c r="Z31" s="11">
        <v>2105.0</v>
      </c>
      <c r="AA31" s="11">
        <v>2106.0</v>
      </c>
      <c r="AB31" s="11">
        <v>2107.0</v>
      </c>
    </row>
    <row r="32" ht="15.0" customHeight="1">
      <c r="A32" s="13">
        <v>22.0</v>
      </c>
      <c r="B32" s="15">
        <v>2201.0</v>
      </c>
      <c r="C32" s="15">
        <v>2202.0</v>
      </c>
      <c r="D32" s="11">
        <v>2203.0</v>
      </c>
      <c r="E32" s="11">
        <v>2204.0</v>
      </c>
      <c r="F32" s="11">
        <v>2205.0</v>
      </c>
      <c r="G32" s="11">
        <v>2206.0</v>
      </c>
      <c r="H32" s="15">
        <v>2207.0</v>
      </c>
      <c r="I32" s="15">
        <v>2208.0</v>
      </c>
      <c r="J32" s="4"/>
      <c r="K32" s="13">
        <v>22.0</v>
      </c>
      <c r="L32" s="32">
        <v>2201.0</v>
      </c>
      <c r="M32" s="11">
        <v>2202.0</v>
      </c>
      <c r="N32" s="11">
        <v>2203.0</v>
      </c>
      <c r="O32" s="11">
        <v>2204.0</v>
      </c>
      <c r="P32" s="11">
        <v>2205.0</v>
      </c>
      <c r="Q32" s="11">
        <v>2206.0</v>
      </c>
      <c r="R32" s="4"/>
      <c r="S32" s="13">
        <v>22.0</v>
      </c>
      <c r="T32" s="11">
        <v>2201.0</v>
      </c>
      <c r="U32" s="15">
        <v>2208.0</v>
      </c>
      <c r="V32" s="11">
        <v>2202.0</v>
      </c>
      <c r="W32" s="11">
        <v>2209.0</v>
      </c>
      <c r="X32" s="11">
        <v>2203.0</v>
      </c>
      <c r="Y32" s="15">
        <v>2204.0</v>
      </c>
      <c r="Z32" s="11">
        <v>2205.0</v>
      </c>
      <c r="AA32" s="15">
        <v>2206.0</v>
      </c>
      <c r="AB32" s="11">
        <v>2207.0</v>
      </c>
    </row>
    <row r="33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ht="14.25" customHeight="1">
      <c r="A34" s="4"/>
      <c r="B34" s="54" t="s">
        <v>38</v>
      </c>
      <c r="C34" s="11" t="s">
        <v>39</v>
      </c>
      <c r="D34" s="11">
        <v>32.0</v>
      </c>
      <c r="E34" s="55">
        <f>64735-2205-1700+2205-1700-1700-2205</f>
        <v>57430</v>
      </c>
      <c r="F34" s="38"/>
      <c r="G34" s="4"/>
      <c r="H34" s="4"/>
      <c r="I34" s="4"/>
      <c r="J34" s="4"/>
      <c r="K34" s="4"/>
      <c r="L34" s="54" t="s">
        <v>40</v>
      </c>
      <c r="M34" s="11" t="s">
        <v>39</v>
      </c>
      <c r="N34" s="11">
        <f>31-1-1</f>
        <v>29</v>
      </c>
      <c r="O34" s="55">
        <f>48725+1375-1700-1375</f>
        <v>47025</v>
      </c>
      <c r="P34" s="38"/>
      <c r="Q34" s="4"/>
      <c r="R34" s="4"/>
      <c r="S34" s="4"/>
      <c r="T34" s="54" t="s">
        <v>41</v>
      </c>
      <c r="U34" s="11" t="s">
        <v>39</v>
      </c>
      <c r="V34" s="11">
        <v>35.0</v>
      </c>
      <c r="W34" s="55">
        <f>51920+470+1845</f>
        <v>54235</v>
      </c>
      <c r="X34" s="38"/>
      <c r="Y34" s="4"/>
      <c r="Z34" s="4"/>
      <c r="AA34" s="4"/>
      <c r="AB34" s="4"/>
    </row>
    <row r="35" ht="14.25" customHeight="1">
      <c r="A35" s="4"/>
      <c r="B35" s="41"/>
      <c r="C35" s="11" t="s">
        <v>42</v>
      </c>
      <c r="D35" s="11">
        <v>28.0</v>
      </c>
      <c r="E35" s="55">
        <v>51930.0</v>
      </c>
      <c r="F35" s="38"/>
      <c r="G35" s="4"/>
      <c r="H35" s="4"/>
      <c r="I35" s="4"/>
      <c r="J35" s="4"/>
      <c r="K35" s="4"/>
      <c r="L35" s="41"/>
      <c r="M35" s="11" t="s">
        <v>42</v>
      </c>
      <c r="N35" s="11">
        <v>25.0</v>
      </c>
      <c r="O35" s="55">
        <f>39495-1375</f>
        <v>38120</v>
      </c>
      <c r="P35" s="38"/>
      <c r="Q35" s="4"/>
      <c r="R35" s="4"/>
      <c r="S35" s="4"/>
      <c r="T35" s="41"/>
      <c r="U35" s="11" t="s">
        <v>42</v>
      </c>
      <c r="V35" s="11">
        <v>38.0</v>
      </c>
      <c r="W35" s="55">
        <v>59625.0</v>
      </c>
      <c r="X35" s="38"/>
      <c r="Y35" s="4"/>
      <c r="Z35" s="4"/>
      <c r="AA35" s="4"/>
      <c r="AB35" s="4"/>
    </row>
    <row r="36" ht="14.25" customHeight="1">
      <c r="A36" s="4"/>
      <c r="B36" s="42"/>
      <c r="C36" s="43" t="s">
        <v>43</v>
      </c>
      <c r="D36" s="43">
        <f t="shared" ref="D36:E36" si="1">SUM(D34:D35)</f>
        <v>60</v>
      </c>
      <c r="E36" s="44">
        <f t="shared" si="1"/>
        <v>109360</v>
      </c>
      <c r="F36" s="45"/>
      <c r="G36" s="4"/>
      <c r="H36" s="4"/>
      <c r="I36" s="4"/>
      <c r="J36" s="4"/>
      <c r="K36" s="4"/>
      <c r="L36" s="42"/>
      <c r="M36" s="43" t="s">
        <v>43</v>
      </c>
      <c r="N36" s="43">
        <f t="shared" ref="N36:O36" si="2">SUM(N34:N35)</f>
        <v>54</v>
      </c>
      <c r="O36" s="44">
        <f t="shared" si="2"/>
        <v>85145</v>
      </c>
      <c r="P36" s="4"/>
      <c r="Q36" s="4"/>
      <c r="R36" s="4"/>
      <c r="S36" s="4"/>
      <c r="T36" s="42"/>
      <c r="U36" s="43" t="s">
        <v>43</v>
      </c>
      <c r="V36" s="43">
        <f t="shared" ref="V36:W36" si="3">SUM(V34:V35)</f>
        <v>73</v>
      </c>
      <c r="W36" s="44">
        <f t="shared" si="3"/>
        <v>113860</v>
      </c>
      <c r="X36" s="4"/>
      <c r="Y36" s="4"/>
      <c r="Z36" s="4"/>
      <c r="AA36" s="4"/>
      <c r="AB36" s="4"/>
    </row>
    <row r="37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ht="14.25" customHeight="1">
      <c r="A38" s="4"/>
      <c r="B38" s="46" t="s">
        <v>44</v>
      </c>
      <c r="C38" s="7"/>
      <c r="D38" s="7"/>
      <c r="E38" s="2"/>
      <c r="F38" s="43">
        <f>SUM(D34,N34,V34)</f>
        <v>96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ht="14.25" customHeight="1">
      <c r="A39" s="4"/>
      <c r="B39" s="46" t="s">
        <v>45</v>
      </c>
      <c r="C39" s="7"/>
      <c r="D39" s="7"/>
      <c r="E39" s="2"/>
      <c r="F39" s="43">
        <f>SUM($D$36,$N$36,$V$36)</f>
        <v>187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ht="14.25" customHeight="1">
      <c r="A40" s="4"/>
      <c r="B40" s="46" t="s">
        <v>46</v>
      </c>
      <c r="C40" s="7"/>
      <c r="D40" s="7"/>
      <c r="E40" s="2"/>
      <c r="F40" s="44">
        <f>SUM(E36,O36,W36)</f>
        <v>308365</v>
      </c>
      <c r="G40" s="38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ht="14.25" hidden="1" customHeight="1">
      <c r="A46" s="4"/>
      <c r="B46" s="4" t="s">
        <v>48</v>
      </c>
      <c r="C46" s="45" t="s">
        <v>49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ht="14.25" hidden="1" customHeight="1">
      <c r="A47" s="4"/>
      <c r="B47" s="4" t="s">
        <v>50</v>
      </c>
      <c r="C47" s="45" t="s">
        <v>51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ht="14.25" hidden="1" customHeight="1">
      <c r="A48" s="4"/>
      <c r="B48" s="4" t="s">
        <v>52</v>
      </c>
      <c r="C48" s="45" t="s">
        <v>53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ht="14.25" hidden="1" customHeight="1">
      <c r="A49" s="4"/>
      <c r="B49" s="4" t="s">
        <v>54</v>
      </c>
      <c r="C49" s="45" t="s">
        <v>55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 ht="14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 ht="14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 ht="14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 ht="14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 ht="14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 ht="14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 ht="14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 ht="14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 ht="14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 ht="14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 ht="14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 ht="14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 ht="14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 ht="14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 ht="14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 ht="14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 ht="14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 ht="14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 ht="14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 ht="14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 ht="14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 ht="14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 ht="14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 ht="14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 ht="14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 ht="14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 ht="14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 ht="14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 ht="14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 ht="14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 ht="14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 ht="14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 ht="14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 ht="14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 ht="14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 ht="14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 ht="14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 ht="14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 ht="14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 ht="14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 ht="14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 ht="14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 ht="14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 ht="14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 ht="14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 ht="14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 ht="14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 ht="14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 ht="14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 ht="14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 ht="14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 ht="14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 ht="14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 ht="14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 ht="14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 ht="14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 ht="14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 ht="14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 ht="14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 ht="14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 ht="14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 ht="14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 ht="14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 ht="14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 ht="14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 ht="14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 ht="14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 ht="14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 ht="14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 ht="14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 ht="14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 ht="14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 ht="14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 ht="14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 ht="14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 ht="14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 ht="14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 ht="14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 ht="14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 ht="14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 ht="14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 ht="14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 ht="14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 ht="14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 ht="14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 ht="14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 ht="14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 ht="14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 ht="14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 ht="14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 ht="14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 ht="14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 ht="14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 ht="14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 ht="14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 ht="14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 ht="14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 ht="14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 ht="14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 ht="14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 ht="14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 ht="14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 ht="14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 ht="14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 ht="14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 ht="14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 ht="14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 ht="14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 ht="14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 ht="14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 ht="14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 ht="14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 ht="14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 ht="14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 ht="14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 ht="14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 ht="14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 ht="14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 ht="14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 ht="14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 ht="14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 ht="14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 ht="14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 ht="14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 ht="14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 ht="14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 ht="14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 ht="14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 ht="14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 ht="14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 ht="14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 ht="14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 ht="14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 ht="14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 ht="14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 ht="14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 ht="14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 ht="14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 ht="14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 ht="14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 ht="14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 ht="14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 ht="14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 ht="14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 ht="14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 ht="14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 ht="14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 ht="14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 ht="14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 ht="14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 ht="14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 ht="14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 ht="14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 ht="14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 ht="14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 ht="14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 ht="14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 ht="14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 ht="14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 ht="14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 ht="14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 ht="14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 ht="14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 ht="14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 ht="14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 ht="14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 ht="14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 ht="14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 ht="14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 ht="14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 ht="14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 ht="14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 ht="14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 ht="14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 ht="14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 ht="14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 ht="14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 ht="14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 ht="14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 ht="14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 ht="14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 ht="14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 ht="14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 ht="14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 ht="14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 ht="14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 ht="14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 ht="14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 ht="14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 ht="14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 ht="14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 ht="14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 ht="14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 ht="14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 ht="14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 ht="14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 ht="14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 ht="14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 ht="14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 ht="14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 ht="14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 ht="14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 ht="14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 ht="14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 ht="14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 ht="14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 ht="14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 ht="14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 ht="14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 ht="14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 ht="14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 ht="14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 ht="14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 ht="14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 ht="14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 ht="14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 ht="14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 ht="14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 ht="14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 ht="14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 ht="14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 ht="14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 ht="14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 ht="14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 ht="14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 ht="14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 ht="14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 ht="14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 ht="14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 ht="14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 ht="14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 ht="14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 ht="14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 ht="14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 ht="14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 ht="14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 ht="14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 ht="14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 ht="14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 ht="14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 ht="14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 ht="14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 ht="14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 ht="14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 ht="14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 ht="14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 ht="14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 ht="14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 ht="14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 ht="14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 ht="14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 ht="14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 ht="14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 ht="14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 ht="14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 ht="14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 ht="14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 ht="14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 ht="14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 ht="14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 ht="14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 ht="14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 ht="14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 ht="14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 ht="14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 ht="14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 ht="14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 ht="14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 ht="14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 ht="14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 ht="14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 ht="14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 ht="14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 ht="14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 ht="14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 ht="14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 ht="14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 ht="14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 ht="14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 ht="14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 ht="14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 ht="14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 ht="14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 ht="14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 ht="14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 ht="14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 ht="14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 ht="14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 ht="14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 ht="14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 ht="14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 ht="14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 ht="14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 ht="14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 ht="14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 ht="14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 ht="14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 ht="14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 ht="14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 ht="14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 ht="14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 ht="14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 ht="14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 ht="14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 ht="14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 ht="14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 ht="14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 ht="14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 ht="14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 ht="14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 ht="14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 ht="14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 ht="14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 ht="14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 ht="14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 ht="14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 ht="14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 ht="14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 ht="14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 ht="14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 ht="14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 ht="14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 ht="14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 ht="14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 ht="14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 ht="14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 ht="14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 ht="14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 ht="14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 ht="14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 ht="14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 ht="14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 ht="14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 ht="14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 ht="14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 ht="14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 ht="14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 ht="14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 ht="14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 ht="14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 ht="14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 ht="14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 ht="14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 ht="14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 ht="14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 ht="14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 ht="14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 ht="14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 ht="14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 ht="14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 ht="14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 ht="14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 ht="14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 ht="14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 ht="14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 ht="14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 ht="14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 ht="14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 ht="14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 ht="14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 ht="14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 ht="14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 ht="14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 ht="14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 ht="14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 ht="14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 ht="14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 ht="14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 ht="14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 ht="14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 ht="14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 ht="14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 ht="14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 ht="14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 ht="14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 ht="14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 ht="14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 ht="14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 ht="14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 ht="14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 ht="14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 ht="14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 ht="14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 ht="14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 ht="14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 ht="14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 ht="14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 ht="14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 ht="14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 ht="14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 ht="14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 ht="14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 ht="14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 ht="14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 ht="14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 ht="14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 ht="14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 ht="14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 ht="14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 ht="14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 ht="14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 ht="14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 ht="14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 ht="14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 ht="14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 ht="14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 ht="14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 ht="14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 ht="14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 ht="14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 ht="14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 ht="14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 ht="14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 ht="14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 ht="14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 ht="14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 ht="14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 ht="14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 ht="14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 ht="14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 ht="14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 ht="14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 ht="14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 ht="14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 ht="14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 ht="14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 ht="14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 ht="14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 ht="14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 ht="14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 ht="14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 ht="14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 ht="14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 ht="14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 ht="14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 ht="14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 ht="14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 ht="14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 ht="14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 ht="14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 ht="14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 ht="14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 ht="14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 ht="14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 ht="14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 ht="14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 ht="14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 ht="14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 ht="14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 ht="14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 ht="14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 ht="14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 ht="14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 ht="14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 ht="14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 ht="14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 ht="14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 ht="14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 ht="14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 ht="14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 ht="14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 ht="14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 ht="14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 ht="14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 ht="14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 ht="14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 ht="14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 ht="14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 ht="14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 ht="14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 ht="14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 ht="14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 ht="14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 ht="14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 ht="14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 ht="14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 ht="14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 ht="14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 ht="14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 ht="14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 ht="14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 ht="14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 ht="14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 ht="14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 ht="14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 ht="14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 ht="14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 ht="14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 ht="14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 ht="14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 ht="14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 ht="14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 ht="14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 ht="14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 ht="14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 ht="14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 ht="14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 ht="14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 ht="14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 ht="14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 ht="14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 ht="14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 ht="14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 ht="14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 ht="14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 ht="14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 ht="14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 ht="14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 ht="14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 ht="14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 ht="14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 ht="14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 ht="14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 ht="14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 ht="14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 ht="14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 ht="14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 ht="14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 ht="14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 ht="14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 ht="14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 ht="14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 ht="14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 ht="14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 ht="14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 ht="14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 ht="14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 ht="14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 ht="14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 ht="14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 ht="14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 ht="14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 ht="14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 ht="14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 ht="14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 ht="14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 ht="14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 ht="14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 ht="14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 ht="14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 ht="14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 ht="14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 ht="14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 ht="14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 ht="14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 ht="14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 ht="14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 ht="14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 ht="14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 ht="14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 ht="14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 ht="14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 ht="14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 ht="14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 ht="14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 ht="14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 ht="14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 ht="14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 ht="14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 ht="14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 ht="14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 ht="14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 ht="14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 ht="14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 ht="14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 ht="14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 ht="14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 ht="14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 ht="14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 ht="14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 ht="14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 ht="14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 ht="14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 ht="14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 ht="14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 ht="14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 ht="14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 ht="14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 ht="14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 ht="14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 ht="14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 ht="14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 ht="14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 ht="14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 ht="14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 ht="14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 ht="14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 ht="14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 ht="14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 ht="14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 ht="14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 ht="14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 ht="14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 ht="14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 ht="14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 ht="14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 ht="14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 ht="14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 ht="14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 ht="14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 ht="14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 ht="14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 ht="14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 ht="14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 ht="14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 ht="14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 ht="14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 ht="14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 ht="14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 ht="14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 ht="14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 ht="14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 ht="14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 ht="14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 ht="14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 ht="14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 ht="14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 ht="14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 ht="14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 ht="14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 ht="14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 ht="14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 ht="14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 ht="14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 ht="14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 ht="14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 ht="14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 ht="14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 ht="14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 ht="14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 ht="14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 ht="14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 ht="14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 ht="14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 ht="14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 ht="14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 ht="14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 ht="14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 ht="14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 ht="14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 ht="14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 ht="14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 ht="14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 ht="14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 ht="14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 ht="14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 ht="14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 ht="14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 ht="14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 ht="14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 ht="14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 ht="14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 ht="14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 ht="14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 ht="14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 ht="14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 ht="14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 ht="14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 ht="14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 ht="14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 ht="14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 ht="14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 ht="14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 ht="14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 ht="14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 ht="14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 ht="14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 ht="14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 ht="14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 ht="14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 ht="14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 ht="14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 ht="14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 ht="14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 ht="14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 ht="14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 ht="14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 ht="14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 ht="14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 ht="14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 ht="14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 ht="14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 ht="14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 ht="14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 ht="14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 ht="14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 ht="14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 ht="14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 ht="14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 ht="14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 ht="14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 ht="14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 ht="14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 ht="14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 ht="14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 ht="14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 ht="14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 ht="14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 ht="14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 ht="14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 ht="14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 ht="14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 ht="14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 ht="14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 ht="14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 ht="14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 ht="14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 ht="14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 ht="14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 ht="14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 ht="14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 ht="14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 ht="14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 ht="14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 ht="14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 ht="14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 ht="14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 ht="14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 ht="14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 ht="14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 ht="14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 ht="14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 ht="14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 ht="14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 ht="14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 ht="14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 ht="14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 ht="14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 ht="14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 ht="14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 ht="14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 ht="14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 ht="14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 ht="14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 ht="14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 ht="14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 ht="14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 ht="14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 ht="14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 ht="14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 ht="14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 ht="14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 ht="14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 ht="14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 ht="14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 ht="14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 ht="14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 ht="14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 ht="14.2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 ht="14.2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 ht="14.2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  <row r="999" ht="14.2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</row>
    <row r="1000" ht="14.2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</row>
  </sheetData>
  <mergeCells count="26">
    <mergeCell ref="A2:I2"/>
    <mergeCell ref="K2:Q2"/>
    <mergeCell ref="S2:AB2"/>
    <mergeCell ref="B3:E3"/>
    <mergeCell ref="F3:I3"/>
    <mergeCell ref="L3:N3"/>
    <mergeCell ref="O3:Q3"/>
    <mergeCell ref="X3:AB3"/>
    <mergeCell ref="L10:N10"/>
    <mergeCell ref="O10:Q10"/>
    <mergeCell ref="B34:B36"/>
    <mergeCell ref="L34:L36"/>
    <mergeCell ref="T34:T36"/>
    <mergeCell ref="B38:E38"/>
    <mergeCell ref="B39:E39"/>
    <mergeCell ref="B40:E40"/>
    <mergeCell ref="T10:U10"/>
    <mergeCell ref="V10:W10"/>
    <mergeCell ref="T3:U3"/>
    <mergeCell ref="V3:W3"/>
    <mergeCell ref="A9:I9"/>
    <mergeCell ref="K9:Q9"/>
    <mergeCell ref="S9:AB9"/>
    <mergeCell ref="B10:E10"/>
    <mergeCell ref="F10:I10"/>
    <mergeCell ref="X10:AB10"/>
  </mergeCells>
  <printOptions/>
  <pageMargins bottom="0.7480314960629921" footer="0.0" header="0.0" left="0.7086614173228347" right="0.7086614173228347" top="0.7480314960629921"/>
  <pageSetup paperSize="8" orientation="landscape"/>
  <drawing r:id="rId2"/>
  <legacyDrawing r:id="rId3"/>
</worksheet>
</file>